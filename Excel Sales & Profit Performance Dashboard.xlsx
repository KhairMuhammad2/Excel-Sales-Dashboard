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hidePivotFieldList="1" defaultThemeVersion="202300"/>
  <mc:AlternateContent xmlns:mc="http://schemas.openxmlformats.org/markup-compatibility/2006">
    <mc:Choice Requires="x15">
      <x15ac:absPath xmlns:x15ac="http://schemas.microsoft.com/office/spreadsheetml/2010/11/ac" url="/Users/jawad/Desktop/"/>
    </mc:Choice>
  </mc:AlternateContent>
  <xr:revisionPtr revIDLastSave="0" documentId="8_{BAEC80A6-F3F1-D446-93D9-694FA8F543D4}" xr6:coauthVersionLast="47" xr6:coauthVersionMax="47" xr10:uidLastSave="{00000000-0000-0000-0000-000000000000}"/>
  <bookViews>
    <workbookView xWindow="0" yWindow="680" windowWidth="29400" windowHeight="17140" activeTab="4" xr2:uid="{ADC0B6D2-9D8B-104C-95AA-A38C0D1E0BC0}"/>
  </bookViews>
  <sheets>
    <sheet name="Raw_Data" sheetId="1" r:id="rId1"/>
    <sheet name="Clean_Data" sheetId="2" r:id="rId2"/>
    <sheet name="Analysis" sheetId="8" r:id="rId3"/>
    <sheet name="Dashboard" sheetId="12" r:id="rId4"/>
    <sheet name="Documentation" sheetId="14" r:id="rId5"/>
  </sheets>
  <definedNames>
    <definedName name="Slicer_Category">#N/A</definedName>
    <definedName name="Slicer_Month">#N/A</definedName>
    <definedName name="Slicer_Region">#N/A</definedName>
  </definedNames>
  <calcPr calcId="181029"/>
  <pivotCaches>
    <pivotCache cacheId="2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12" l="1"/>
  <c r="B69" i="12"/>
  <c r="B50" i="1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2" i="2"/>
</calcChain>
</file>

<file path=xl/sharedStrings.xml><?xml version="1.0" encoding="utf-8"?>
<sst xmlns="http://schemas.openxmlformats.org/spreadsheetml/2006/main" count="4789" uniqueCount="1258">
  <si>
    <t>Order ID</t>
  </si>
  <si>
    <t>Order Date</t>
  </si>
  <si>
    <t>Region</t>
  </si>
  <si>
    <t>Category</t>
  </si>
  <si>
    <t>Product Name</t>
  </si>
  <si>
    <t>Sales</t>
  </si>
  <si>
    <t>Profit</t>
  </si>
  <si>
    <t>ORD-1000</t>
  </si>
  <si>
    <t>Office Supplies</t>
  </si>
  <si>
    <t>Phone</t>
  </si>
  <si>
    <t>ORD-1001</t>
  </si>
  <si>
    <t>Technology</t>
  </si>
  <si>
    <t>ORD-1002</t>
  </si>
  <si>
    <t>Central</t>
  </si>
  <si>
    <t>Chair</t>
  </si>
  <si>
    <t>ORD-1003</t>
  </si>
  <si>
    <t>East</t>
  </si>
  <si>
    <t>ORD-1004</t>
  </si>
  <si>
    <t>Printer</t>
  </si>
  <si>
    <t>ORD-1005</t>
  </si>
  <si>
    <t>ORD-1006</t>
  </si>
  <si>
    <t>West</t>
  </si>
  <si>
    <t>Furniture</t>
  </si>
  <si>
    <t>ORD-1007</t>
  </si>
  <si>
    <t>Table</t>
  </si>
  <si>
    <t>ORD-1008</t>
  </si>
  <si>
    <t>ORD-1009</t>
  </si>
  <si>
    <t>South</t>
  </si>
  <si>
    <t>ORD-1010</t>
  </si>
  <si>
    <t>ORD-1011</t>
  </si>
  <si>
    <t>ORD-1012</t>
  </si>
  <si>
    <t>ORD-1013</t>
  </si>
  <si>
    <t>Laptop</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</si>
  <si>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</si>
  <si>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</si>
  <si>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</si>
  <si>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</si>
  <si>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</si>
  <si>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</si>
  <si>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</si>
  <si>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</si>
  <si>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</si>
  <si>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</si>
  <si>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</si>
  <si>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</si>
  <si>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</si>
  <si>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</si>
  <si>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</si>
  <si>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</si>
  <si>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</si>
  <si>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</si>
  <si>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</si>
  <si>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</si>
  <si>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</si>
  <si>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</si>
  <si>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</si>
  <si>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</si>
  <si>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</si>
  <si>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</si>
  <si>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</si>
  <si>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</si>
  <si>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</si>
  <si>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</si>
  <si>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</si>
  <si>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</si>
  <si>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</si>
  <si>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</si>
  <si>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</si>
  <si>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</si>
  <si>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</si>
  <si>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</si>
  <si>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</si>
  <si>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</si>
  <si>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</si>
  <si>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</si>
  <si>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</si>
  <si>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</si>
  <si>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</si>
  <si>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</si>
  <si>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</si>
  <si>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</si>
  <si>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</si>
  <si>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</si>
  <si>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</si>
  <si>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</si>
  <si>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</si>
  <si>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</si>
  <si>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</si>
  <si>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</si>
  <si>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</si>
  <si>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</si>
  <si>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</si>
  <si>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</si>
  <si>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</si>
  <si>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</si>
  <si>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</si>
  <si>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</si>
  <si>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</si>
  <si>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</si>
  <si>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</si>
  <si>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</si>
  <si>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</si>
  <si>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</si>
  <si>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</si>
  <si>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</si>
  <si>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</si>
  <si>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</si>
  <si>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</si>
  <si>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</si>
  <si>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</si>
  <si>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</si>
  <si>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</si>
  <si>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</si>
  <si>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</si>
  <si>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</si>
  <si>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</si>
  <si>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</si>
  <si>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</si>
  <si>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</si>
  <si>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</si>
  <si>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</si>
  <si>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</si>
  <si>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</si>
  <si>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</si>
  <si>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</si>
  <si>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</si>
  <si>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</si>
  <si>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</si>
  <si>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</si>
  <si>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</si>
  <si>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</si>
  <si>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</si>
  <si>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</si>
  <si>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</si>
  <si>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</si>
  <si>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</si>
  <si>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</si>
  <si>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</si>
  <si>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</si>
  <si>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</si>
  <si>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</si>
  <si>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</si>
  <si>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</si>
  <si>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</si>
  <si>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</si>
  <si>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</si>
  <si>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</si>
  <si>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</si>
  <si>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</si>
  <si>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</si>
  <si>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</si>
  <si>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</si>
  <si>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</si>
  <si>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</si>
  <si>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</si>
  <si>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</si>
  <si>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</si>
  <si>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</si>
  <si>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</si>
  <si>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</si>
  <si>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</si>
  <si>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</si>
  <si>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</si>
  <si>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</si>
  <si>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</si>
  <si>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</si>
  <si>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</si>
  <si>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</si>
  <si>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</si>
  <si>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</si>
  <si>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</si>
  <si>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</si>
  <si>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</si>
  <si>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</si>
  <si>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</si>
  <si>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</si>
  <si>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</si>
  <si>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</si>
  <si>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</si>
  <si>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</si>
  <si>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</si>
  <si>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</si>
  <si>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</si>
  <si>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</si>
  <si>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</si>
  <si>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</si>
  <si>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</si>
  <si>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</si>
  <si>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</si>
  <si>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</si>
  <si>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</si>
  <si>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</si>
  <si>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</si>
  <si>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</si>
  <si>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</si>
  <si>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</si>
  <si>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</si>
  <si>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</si>
  <si>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</si>
  <si>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</si>
  <si>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</si>
  <si>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</si>
  <si>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</si>
  <si>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</si>
  <si>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</si>
  <si>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</si>
  <si>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</si>
  <si>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</si>
  <si>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</si>
  <si>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</si>
  <si>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</si>
  <si>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</si>
  <si>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</si>
  <si>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</si>
  <si>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</si>
  <si>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</si>
  <si>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</si>
  <si>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</si>
  <si>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</si>
  <si>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</si>
  <si>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</si>
  <si>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</si>
  <si>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</si>
  <si>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</si>
  <si>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</si>
  <si>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</si>
  <si>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</si>
  <si>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</si>
  <si>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</si>
  <si>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</si>
  <si>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</si>
  <si>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</si>
  <si>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</si>
  <si>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</si>
  <si>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</si>
  <si>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</si>
  <si>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</si>
  <si>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</si>
  <si>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</si>
  <si>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</si>
  <si>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</si>
  <si>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</si>
  <si>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</si>
  <si>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</si>
  <si>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</si>
  <si>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</si>
  <si>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</si>
  <si>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</si>
  <si>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</si>
  <si>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</si>
  <si>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</si>
  <si>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</si>
  <si>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</si>
  <si>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</si>
  <si>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</si>
  <si>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</si>
  <si>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</si>
  <si>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</si>
  <si>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</si>
  <si>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</si>
  <si>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</si>
  <si>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</si>
  <si>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</si>
  <si>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</si>
  <si>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</si>
  <si>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</si>
  <si>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</si>
  <si>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</si>
  <si>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</si>
  <si>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</si>
  <si>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</si>
  <si>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</si>
  <si>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</si>
  <si>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</si>
  <si>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</si>
  <si>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</si>
  <si>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</si>
  <si>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</si>
  <si>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</si>
  <si>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</si>
  <si>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</si>
  <si>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</si>
  <si>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</si>
  <si>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</si>
  <si>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</si>
  <si>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</si>
  <si>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</si>
  <si>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</si>
  <si>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</si>
  <si>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</si>
  <si>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</si>
  <si>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</si>
  <si>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</si>
  <si>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</si>
  <si>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</si>
  <si>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</si>
  <si>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</si>
  <si>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</si>
  <si>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</si>
  <si>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</si>
  <si>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</si>
  <si>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</si>
  <si>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</si>
  <si>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</si>
  <si>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</si>
  <si>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</si>
  <si>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</si>
  <si>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</si>
  <si>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</si>
  <si>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</si>
  <si>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</si>
  <si>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</si>
  <si>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</si>
  <si>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</si>
  <si>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</si>
  <si>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</si>
  <si>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</si>
  <si>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</si>
  <si>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</si>
  <si>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</si>
  <si>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</si>
  <si>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</si>
  <si>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</si>
  <si>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</si>
  <si>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</si>
  <si>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</si>
  <si>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</si>
  <si>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</si>
  <si>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</si>
  <si>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</si>
  <si>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</si>
  <si>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</si>
  <si>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</si>
  <si>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</si>
  <si>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</si>
  <si>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</si>
  <si>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</si>
  <si>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</si>
  <si>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</si>
  <si>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</si>
  <si>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</si>
  <si>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</si>
  <si>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</si>
  <si>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</si>
  <si>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</si>
  <si>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</si>
  <si>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</si>
  <si>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</si>
  <si>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</si>
  <si>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</si>
  <si>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</si>
  <si>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</si>
  <si>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</si>
  <si>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</si>
  <si>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</si>
  <si>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</si>
  <si>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</si>
  <si>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</si>
  <si>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</si>
  <si>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</si>
  <si>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</si>
  <si>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</si>
  <si>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</si>
  <si>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</si>
  <si>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</si>
  <si>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</si>
  <si>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</si>
  <si>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</si>
  <si>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</si>
  <si>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</si>
  <si>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</si>
  <si>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</si>
  <si>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</si>
  <si>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</si>
  <si>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</si>
  <si>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</si>
  <si>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</si>
  <si>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</si>
  <si>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</si>
  <si>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</si>
  <si>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</si>
  <si>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</si>
  <si>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</si>
  <si>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</si>
  <si>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</si>
  <si>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</si>
  <si>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</si>
  <si>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</si>
  <si>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</si>
  <si>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</si>
  <si>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</si>
  <si>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</si>
  <si>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</si>
  <si>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</si>
  <si>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</si>
  <si>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</si>
  <si>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</si>
  <si>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</si>
  <si>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</si>
  <si>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</si>
  <si>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</si>
  <si>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</si>
  <si>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</si>
  <si>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</si>
  <si>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</si>
  <si>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</si>
  <si>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</si>
  <si>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</si>
  <si>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</si>
  <si>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</si>
  <si>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</si>
  <si>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</si>
  <si>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</si>
  <si>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</si>
  <si>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</si>
  <si>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</si>
  <si>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</si>
  <si>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</si>
  <si>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</si>
  <si>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</si>
  <si>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</si>
  <si>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</si>
  <si>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</si>
  <si>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</si>
  <si>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</si>
  <si>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</si>
  <si>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</si>
  <si>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</si>
  <si>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</si>
  <si>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</si>
  <si>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</si>
  <si>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</si>
  <si>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</si>
  <si>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</si>
  <si>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</si>
  <si>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</si>
  <si>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</si>
  <si>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</si>
  <si>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</si>
  <si>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</si>
  <si>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</si>
  <si>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</si>
  <si>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</si>
  <si>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</si>
  <si>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</si>
  <si>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</si>
  <si>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</si>
  <si>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</si>
  <si>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</si>
  <si>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</si>
  <si>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</si>
  <si>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</si>
  <si>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</si>
  <si>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</si>
  <si>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</si>
  <si>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</si>
  <si>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</si>
  <si>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</si>
  <si>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</si>
  <si>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</si>
  <si>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</si>
  <si>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</si>
  <si>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</si>
  <si>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</si>
  <si>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</si>
  <si>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</si>
  <si>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</si>
  <si>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</si>
  <si>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</si>
  <si>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</si>
  <si>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</si>
  <si>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</si>
  <si>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</si>
  <si>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</si>
  <si>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</si>
  <si>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</si>
  <si>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</si>
  <si>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</si>
  <si>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</si>
  <si>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</si>
  <si>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</si>
  <si>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</si>
  <si>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</si>
  <si>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</si>
  <si>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</si>
  <si>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</si>
  <si>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</si>
  <si>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</si>
  <si>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</si>
  <si>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</si>
  <si>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</si>
  <si>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</si>
  <si>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</si>
  <si>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</si>
  <si>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</si>
  <si>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</si>
  <si>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</si>
  <si>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</si>
  <si>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</si>
  <si>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</si>
  <si>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</si>
  <si>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</si>
  <si>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</si>
  <si>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</si>
  <si>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</si>
  <si>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</si>
  <si>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</si>
  <si>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</si>
  <si>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</si>
  <si>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</si>
  <si>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</si>
  <si>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</si>
  <si>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</si>
  <si>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</si>
  <si>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</si>
  <si>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</si>
  <si>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</si>
  <si>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</si>
  <si>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</si>
  <si>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</si>
  <si>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</si>
  <si>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</si>
  <si>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</si>
  <si>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</si>
  <si>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</si>
  <si>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</si>
  <si>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</si>
  <si>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</si>
  <si>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</si>
  <si>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</si>
  <si>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</si>
  <si>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</si>
  <si>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</si>
  <si>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</si>
  <si>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</si>
  <si>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</si>
  <si>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</si>
  <si>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</si>
  <si>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</si>
  <si>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</si>
  <si>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</si>
  <si>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</si>
  <si>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</si>
  <si>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</si>
  <si>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</si>
  <si>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</si>
  <si>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</si>
  <si>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</si>
  <si>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</si>
  <si>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</si>
  <si>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</si>
  <si>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</si>
  <si>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</si>
  <si>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</si>
  <si>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</si>
  <si>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</si>
  <si>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</si>
  <si>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</si>
  <si>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</si>
  <si>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</si>
  <si>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</si>
  <si>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</si>
  <si>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</si>
  <si>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</si>
  <si>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</si>
  <si>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</si>
  <si>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</si>
  <si>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</si>
  <si>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</si>
  <si>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</si>
  <si>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</si>
  <si>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</si>
  <si>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</si>
  <si>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</si>
  <si>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</si>
  <si>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</si>
  <si>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</si>
  <si>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</si>
  <si>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</si>
  <si>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</si>
  <si>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</si>
  <si>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</si>
  <si>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</si>
  <si>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</si>
  <si>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</si>
  <si>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</si>
  <si>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</si>
  <si>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</si>
  <si>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</si>
  <si>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</si>
  <si>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</si>
  <si>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</si>
  <si>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</si>
  <si>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</si>
  <si>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</si>
  <si>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</si>
  <si>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</si>
  <si>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</si>
  <si>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</si>
  <si>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</si>
  <si>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</si>
  <si>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</si>
  <si>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</si>
  <si>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</si>
  <si>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</si>
  <si>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</si>
  <si>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</si>
  <si>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</si>
  <si>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</si>
  <si>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</si>
  <si>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</si>
  <si>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</si>
  <si>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</si>
  <si>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</si>
  <si>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</si>
  <si>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</si>
  <si>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</si>
  <si>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</si>
  <si>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</si>
  <si>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</si>
  <si>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</si>
  <si>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</si>
  <si>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</si>
  <si>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</si>
  <si>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</si>
  <si>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</si>
  <si>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</si>
  <si>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</si>
  <si>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</si>
  <si>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</si>
  <si>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</si>
  <si>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</si>
  <si>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</si>
  <si>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</si>
  <si>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</si>
  <si>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</si>
  <si>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</si>
  <si>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</si>
  <si>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</si>
  <si>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</si>
  <si>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</si>
  <si>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</si>
  <si>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</si>
  <si>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</si>
  <si>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</si>
  <si>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</si>
  <si>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</si>
  <si>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</si>
  <si>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</si>
  <si>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</si>
  <si>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</si>
  <si>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</si>
  <si>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</si>
  <si>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</si>
  <si>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</si>
  <si>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</si>
  <si>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</si>
  <si>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</si>
  <si>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</si>
  <si>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</si>
  <si>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</si>
  <si>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</si>
  <si>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</si>
  <si>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</si>
  <si>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</si>
  <si>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</si>
  <si>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</si>
  <si>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</si>
  <si>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</si>
  <si>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</si>
  <si>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</si>
  <si>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</si>
  <si>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</si>
  <si>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</si>
  <si>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</si>
  <si>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</si>
  <si>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</si>
  <si>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</si>
  <si>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</si>
  <si>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</si>
  <si>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</si>
  <si>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</si>
  <si>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</si>
  <si>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</si>
  <si>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</si>
  <si>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</si>
  <si>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</si>
  <si>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</si>
  <si>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</si>
  <si>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</si>
  <si>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</si>
  <si>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</si>
  <si>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</si>
  <si>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</si>
  <si>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</si>
  <si>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</si>
  <si>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</si>
  <si>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</si>
  <si>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</si>
  <si>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</si>
  <si>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</si>
  <si>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</si>
  <si>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</si>
  <si>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</si>
  <si>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</si>
  <si>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</si>
  <si>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</si>
  <si>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</si>
  <si>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</si>
  <si>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</si>
  <si>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</si>
  <si>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</si>
  <si>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</si>
  <si>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</si>
  <si>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</si>
  <si>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</si>
  <si>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</si>
  <si>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</si>
  <si>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</si>
  <si>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</si>
  <si>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</si>
  <si>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</si>
  <si>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</si>
  <si>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</si>
  <si>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</si>
  <si>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</si>
  <si>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</si>
  <si>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</si>
  <si>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</si>
  <si>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</si>
  <si>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</si>
  <si>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</si>
  <si>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</si>
  <si>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</si>
  <si>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</si>
  <si>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</si>
  <si>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</si>
  <si>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</si>
  <si>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</si>
  <si>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</si>
  <si>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</si>
  <si>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</si>
  <si>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</si>
  <si>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</si>
  <si>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</si>
  <si>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</si>
  <si>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</si>
  <si>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</si>
  <si>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</si>
  <si>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</si>
  <si>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</si>
  <si>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</si>
  <si>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</si>
  <si>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</si>
  <si>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</si>
  <si>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</si>
  <si>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</si>
  <si>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</si>
  <si>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</si>
  <si>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</si>
  <si>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</si>
  <si>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</si>
  <si>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</si>
  <si>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</si>
  <si>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</si>
  <si>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</si>
  <si>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</si>
  <si>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</si>
  <si>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</si>
  <si>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</si>
  <si>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</si>
  <si>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</si>
  <si>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</si>
  <si>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</si>
  <si>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</si>
  <si>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</si>
  <si>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</si>
  <si>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</si>
  <si>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</si>
  <si>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</si>
  <si>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</si>
  <si>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</si>
  <si>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</si>
  <si>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</si>
  <si>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</si>
  <si>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</si>
  <si>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</si>
  <si>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</si>
  <si>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</si>
  <si>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</si>
  <si>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</si>
  <si>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</si>
  <si>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</si>
  <si>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</si>
  <si>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</si>
  <si>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</si>
  <si>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</si>
  <si>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</si>
  <si>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</si>
  <si>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</si>
  <si>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</si>
  <si>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</si>
  <si>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</si>
  <si>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</si>
  <si>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</si>
  <si>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</si>
  <si>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</si>
  <si>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</si>
  <si>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</si>
  <si>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</si>
  <si>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</si>
  <si>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</si>
  <si>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</si>
  <si>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</si>
  <si>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</si>
  <si>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</si>
  <si>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</si>
  <si>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</si>
  <si>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</si>
  <si>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</si>
  <si>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</si>
  <si>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</si>
  <si>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</si>
  <si>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</si>
  <si>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</si>
  <si>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</si>
  <si>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</si>
  <si>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</si>
  <si>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</si>
  <si>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</si>
  <si>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</si>
  <si>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</si>
  <si>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</si>
  <si>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</si>
  <si>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</si>
  <si>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</si>
  <si>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</si>
  <si>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</si>
  <si>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</si>
  <si>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</si>
  <si>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</si>
  <si>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</si>
  <si>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</si>
  <si>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</si>
  <si>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</si>
  <si>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</si>
  <si>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</si>
  <si>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</si>
  <si>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</si>
  <si>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</si>
  <si>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</si>
  <si>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</si>
  <si>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</si>
  <si>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</si>
  <si>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</si>
  <si>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</si>
  <si>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</si>
  <si>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</si>
  <si>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</si>
  <si>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</si>
  <si>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</si>
  <si>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</si>
  <si>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</si>
  <si>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</si>
  <si>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</si>
  <si>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</si>
  <si>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</si>
  <si>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</si>
  <si>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</si>
  <si>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</si>
  <si>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</si>
  <si>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</si>
  <si>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</si>
  <si>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</si>
  <si>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</si>
  <si>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</si>
  <si>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</si>
  <si>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</si>
  <si>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</si>
  <si>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</si>
  <si>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</si>
  <si>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</si>
  <si>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</si>
  <si>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</si>
  <si>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</si>
  <si>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</si>
  <si>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</si>
  <si>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</si>
  <si>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</si>
  <si>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</si>
  <si>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</si>
  <si>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</si>
  <si>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</si>
  <si>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</si>
  <si>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</si>
  <si>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</si>
  <si>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</si>
  <si>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</si>
  <si>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</si>
  <si>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</si>
  <si>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</si>
  <si>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</si>
  <si>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</si>
  <si>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</si>
  <si>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</si>
  <si>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</si>
  <si>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</si>
  <si>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</si>
  <si>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</si>
  <si>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</si>
  <si>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</si>
  <si>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</si>
  <si>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</si>
  <si>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</si>
  <si>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</si>
  <si>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</si>
  <si>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</si>
  <si>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</si>
  <si>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</si>
  <si>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</si>
  <si>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</si>
  <si>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</si>
  <si>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</si>
  <si>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</si>
  <si>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</si>
  <si>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</si>
  <si>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</si>
  <si>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</si>
  <si>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</si>
  <si>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</si>
  <si>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</si>
  <si>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</si>
  <si>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</si>
  <si>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</si>
  <si>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</si>
  <si>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</si>
  <si>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</si>
  <si>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</si>
  <si>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</si>
  <si>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</si>
  <si>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</si>
  <si>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</si>
  <si>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</si>
  <si>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</si>
  <si>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</si>
  <si>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</si>
  <si>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</si>
  <si>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</si>
  <si>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</si>
  <si>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</si>
  <si>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</si>
  <si>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</si>
  <si>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</si>
  <si>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</si>
  <si>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</si>
  <si>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</si>
  <si>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</si>
  <si>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</si>
  <si>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</si>
  <si>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</si>
  <si>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</si>
  <si>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</si>
  <si>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</si>
  <si>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</si>
  <si>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</si>
  <si>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</si>
  <si>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</si>
  <si>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</si>
  <si>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</si>
  <si>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</si>
  <si>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</si>
  <si>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</si>
  <si>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</si>
  <si>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</si>
  <si>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</si>
  <si>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</si>
  <si>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</si>
  <si>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</si>
  <si>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</si>
  <si>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</si>
  <si>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</si>
  <si>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</si>
  <si>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</si>
  <si>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</si>
  <si>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</si>
  <si>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</si>
  <si>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</si>
  <si>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</si>
  <si>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</si>
  <si>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</si>
  <si>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</si>
  <si>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</si>
  <si>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</si>
  <si>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</si>
  <si>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</si>
  <si>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</si>
  <si>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</si>
  <si>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</si>
  <si>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</si>
  <si>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</si>
  <si>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</si>
  <si>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</si>
  <si>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</si>
  <si>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</si>
  <si>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</si>
  <si>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</si>
  <si>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</si>
  <si>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</si>
  <si>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</si>
  <si>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</si>
  <si>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</si>
  <si>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</si>
  <si>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</si>
  <si>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</si>
  <si>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</si>
  <si>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</si>
  <si>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</si>
  <si>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</si>
  <si>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</si>
  <si>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</si>
  <si>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</si>
  <si>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</si>
  <si>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</si>
  <si>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</si>
  <si>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</si>
  <si>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</si>
  <si>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</si>
  <si>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</si>
  <si>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</si>
  <si>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</si>
  <si>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</si>
  <si>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</si>
  <si>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</si>
  <si>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</si>
  <si>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</si>
  <si>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</si>
  <si>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</si>
  <si>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</si>
  <si>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</si>
  <si>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</si>
  <si>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</si>
  <si>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</si>
  <si>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</si>
  <si>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</si>
  <si>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</si>
  <si>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</si>
  <si>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</si>
  <si>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</si>
  <si>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</si>
  <si>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</si>
  <si>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</si>
  <si>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</si>
  <si>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</si>
  <si>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</si>
  <si>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</si>
  <si>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</si>
  <si>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</si>
  <si>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</si>
  <si>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</si>
  <si>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</si>
  <si>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</si>
  <si>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</si>
  <si>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</si>
  <si>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</si>
  <si>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</si>
  <si>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</si>
  <si>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</si>
  <si>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</si>
  <si>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</si>
  <si>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</si>
  <si>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</si>
  <si>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</si>
  <si>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</si>
  <si>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</si>
  <si>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</si>
  <si>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</si>
  <si>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</si>
  <si>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</si>
  <si>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</si>
  <si>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</si>
  <si>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</si>
  <si>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</si>
  <si>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</si>
  <si>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</si>
  <si>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</si>
  <si>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</si>
  <si>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</si>
  <si>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</si>
  <si>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</si>
  <si>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</si>
  <si>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</si>
  <si>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</si>
  <si>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</si>
  <si>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</si>
  <si>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</si>
  <si>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</si>
  <si>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</si>
  <si>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</si>
  <si>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</si>
  <si>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</si>
  <si>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</si>
  <si>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</si>
  <si>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</si>
  <si>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</si>
  <si>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</si>
  <si>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</si>
  <si>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</si>
  <si>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</si>
  <si>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</si>
  <si>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</si>
  <si>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</si>
  <si>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</si>
  <si>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</si>
  <si>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</si>
  <si>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</si>
  <si>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</si>
  <si>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</si>
  <si>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</si>
  <si>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</si>
  <si>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</si>
  <si>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</si>
  <si>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</si>
  <si>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</si>
  <si>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</si>
  <si>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</si>
  <si>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</si>
  <si>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</si>
  <si>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</si>
  <si>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</si>
  <si>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</si>
  <si>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</si>
  <si>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</si>
  <si>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</si>
  <si>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</si>
  <si>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</si>
  <si>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</si>
  <si>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</si>
  <si>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</si>
  <si>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</si>
  <si>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</si>
  <si>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</si>
  <si>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</si>
  <si>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</si>
  <si>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</si>
  <si>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</si>
  <si>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</si>
  <si>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</si>
  <si>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</si>
  <si>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</si>
  <si>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</si>
  <si>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</si>
  <si>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</si>
  <si>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</si>
  <si>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</si>
  <si>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</si>
  <si>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</si>
  <si>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</si>
  <si>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</si>
  <si>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</si>
  <si>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</si>
  <si>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</si>
  <si>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</si>
  <si>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</si>
  <si>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</si>
  <si>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</si>
  <si>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</si>
  <si>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</si>
  <si>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</si>
  <si>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</si>
  <si>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</si>
  <si>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</si>
  <si>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</si>
  <si>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</si>
  <si>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</si>
  <si>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</si>
  <si>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</si>
  <si>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</si>
  <si>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</si>
  <si>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</si>
  <si>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</si>
  <si>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</si>
  <si>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</si>
  <si>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</si>
  <si>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</si>
  <si>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</si>
  <si>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</si>
  <si>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</si>
  <si>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</si>
  <si>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</si>
  <si>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</si>
  <si>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</si>
  <si>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</si>
  <si>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</si>
  <si>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</si>
  <si>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</si>
  <si>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</si>
  <si>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</si>
  <si>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</si>
  <si>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</si>
  <si>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</si>
  <si>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</si>
  <si>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</si>
  <si>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</si>
  <si>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</si>
  <si>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</si>
  <si>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</si>
  <si>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</si>
  <si>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</si>
  <si>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</si>
  <si>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</si>
  <si>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</si>
  <si>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</si>
  <si>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</si>
  <si>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</si>
  <si>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</si>
  <si>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</si>
  <si>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</si>
  <si>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</si>
  <si>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</si>
  <si>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Month</t>
  </si>
  <si>
    <t xml:space="preserve">Profit Margin% </t>
  </si>
  <si>
    <t>Row Labels</t>
  </si>
  <si>
    <t>Jan</t>
  </si>
  <si>
    <t>Feb</t>
  </si>
  <si>
    <t>Mar</t>
  </si>
  <si>
    <t>Apr</t>
  </si>
  <si>
    <t>May</t>
  </si>
  <si>
    <t>Jun</t>
  </si>
  <si>
    <t>Jul</t>
  </si>
  <si>
    <t>Aug</t>
  </si>
  <si>
    <t>Sep</t>
  </si>
  <si>
    <t>Oct</t>
  </si>
  <si>
    <t>Nov</t>
  </si>
  <si>
    <t>Dec</t>
  </si>
  <si>
    <t>Grand Total</t>
  </si>
  <si>
    <t>Sum of Sales</t>
  </si>
  <si>
    <t>Sum of Profit</t>
  </si>
  <si>
    <t xml:space="preserve">Sum of Profit Margin% </t>
  </si>
  <si>
    <t>Sales &amp; Profit Dashboard</t>
  </si>
  <si>
    <t>Total Sales</t>
  </si>
  <si>
    <t>Total Profit</t>
  </si>
  <si>
    <t>Total Orders</t>
  </si>
  <si>
    <t>Profit Margin</t>
  </si>
  <si>
    <t>To analyze sales and profit using Excel.</t>
  </si>
  <si>
    <t>Dataset:</t>
  </si>
  <si>
    <t>Skills:</t>
  </si>
  <si>
    <t>Data Cleaning, Pivot Tables, Dashboards, Slicers</t>
  </si>
  <si>
    <t>Outcome:</t>
  </si>
  <si>
    <t>Built an interactive dashboard for business decisions.</t>
  </si>
  <si>
    <t>Monthly Sales</t>
  </si>
  <si>
    <t>Category Perfomance</t>
  </si>
  <si>
    <t>Region Profit</t>
  </si>
  <si>
    <t>Profit Margin By Category</t>
  </si>
  <si>
    <t/>
  </si>
  <si>
    <t xml:space="preserve">                         </t>
  </si>
  <si>
    <t xml:space="preserve">Tittle: </t>
  </si>
  <si>
    <t xml:space="preserve">Objective: </t>
  </si>
  <si>
    <t>Retail sales data (1200+ rows) - (AI Based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</si>
</sst>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Aptos Narrow"/>
      <family val="2"/>
      <scheme val="minor"/>
    </font>
    <font>
      <sz val="11"/>
      <color theme="1"/>
      <name val="Calibri"/>
      <family val="2"/>
    </font>
    <font>
      <b/>
      <i/>
      <sz val="11"/>
      <color theme="1"/>
      <name val="Calibri"/>
      <family val="2"/>
    </font>
    <font>
      <b/>
      <sz val="12"/>
      <color theme="1"/>
      <name val="Aptos Narrow"/>
      <scheme val="minor"/>
    </font>
    <font>
      <b/>
      <i/>
      <sz val="12"/>
      <color theme="1"/>
      <name val="Aptos Narrow"/>
      <scheme val="minor"/>
    </font>
    <font>
      <sz val="20"/>
      <color theme="1"/>
      <name val="Aptos Narrow"/>
      <family val="2"/>
      <scheme val="minor"/>
    </font>
    <font>
      <sz val="20"/>
      <color theme="1"/>
      <name val="Academy Engraved LET Plain:1.0"/>
    </font>
    <font>
      <b/>
      <i/>
      <sz val="20"/>
      <color theme="1"/>
      <name val="Aptos Narrow (Body)"/>
    </font>
    <font>
      <b/>
      <sz val="20"/>
      <color theme="1"/>
      <name val="Aptos Narrow (Body)"/>
    </font>
    <font>
      <b/>
      <i/>
      <sz val="20"/>
      <color theme="1"/>
      <name val="Aptos Narrow"/>
      <scheme val="minor"/>
    </font>
    <font>
      <b/>
      <sz val="14"/>
      <color theme="1"/>
      <name val="Aptos Narrow"/>
      <scheme val="minor"/>
    </font>
  </fonts>
  <fills count="4">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2">
    <xf numFmtId="0" fontId="0" fillId="0" borderId="0" xfId="0"/>
    <xf numFmtId="0" fontId="2" fillId="0" borderId="0" xfId="0" applyFont="1" applyAlignment="1">
      <alignment horizontal="center" vertical="center"/>
    </xf>
    <xf numFmtId="0" fontId="1" fillId="0" borderId="0" xfId="0" applyFont="1" applyAlignment="1">
      <alignment horizontal="center" vertical="center"/>
    </xf>
    <xf numFmtId="14" fontId="1" fillId="0" borderId="0" xfId="0" applyNumberFormat="1" applyFont="1" applyAlignment="1">
      <alignment horizontal="center" vertical="center"/>
    </xf>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4" fillId="0" borderId="0" xfId="0" applyFont="1"/>
    <xf numFmtId="0" fontId="3" fillId="0" borderId="0" xfId="0" applyFont="1"/>
    <xf numFmtId="0" fontId="5" fillId="0" borderId="0" xfId="0" applyFont="1"/>
    <xf numFmtId="0" fontId="6" fillId="0" borderId="0" xfId="0" applyFont="1"/>
    <xf numFmtId="0" fontId="7" fillId="0" borderId="0" xfId="0" applyFont="1"/>
    <xf numFmtId="0" fontId="8" fillId="0" borderId="0" xfId="0" applyFont="1"/>
    <xf numFmtId="0" fontId="7" fillId="2" borderId="0" xfId="0" applyFont="1" applyFill="1"/>
    <xf numFmtId="0" fontId="9" fillId="2" borderId="0" xfId="0" applyFont="1" applyFill="1"/>
    <xf numFmtId="0" fontId="4" fillId="2" borderId="0" xfId="0" applyFont="1" applyFill="1" applyAlignment="1">
      <alignment horizontal="left" wrapText="1"/>
    </xf>
    <xf numFmtId="0" fontId="4" fillId="2" borderId="0" xfId="0" applyFont="1" applyFill="1"/>
    <xf numFmtId="0" fontId="0" fillId="3" borderId="0" xfId="0" applyFill="1" applyAlignment="1">
      <alignment horizontal="center"/>
    </xf>
    <xf numFmtId="0" fontId="0" fillId="3" borderId="0" xfId="0" applyFont="1" applyFill="1" applyAlignment="1">
      <alignment horizontal="center"/>
    </xf>
    <xf numFmtId="0" fontId="0" fillId="3" borderId="0" xfId="0" applyFill="1"/>
    <xf numFmtId="0" fontId="10" fillId="0" borderId="0" xfId="0" applyFont="1"/>
  </cellXfs>
  <cellStyles count="1">
    <cellStyle name="Normal" xfId="0" builtinId="0"/>
  </cellStyles>
  <dxfs count="20">
    <dxf>
      <font>
        <b/>
        <i/>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&amp; Profit Performance Dashboard.xlsx]Analysis!PivotTable5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Analysis!$C$6</c:f>
              <c:strCache>
                <c:ptCount val="1"/>
                <c:pt idx="0">
                  <c:v>Total</c:v>
                </c:pt>
              </c:strCache>
            </c:strRef>
          </c:tx>
          <c:spPr>
            <a:solidFill>
              <a:schemeClr val="accent1"/>
            </a:solidFill>
            <a:ln>
              <a:noFill/>
            </a:ln>
            <a:effectLst/>
          </c:spPr>
          <c:invertIfNegative val="0"/>
          <c:cat>
            <c:strRef>
              <c:f>Analysis!$B$7:$B$19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Analysis!$C$7:$C$19</c:f>
              <c:numCache>
                <c:formatCode>General</c:formatCode>
                <c:ptCount val="12"/>
                <c:pt idx="0">
                  <c:v>5838.53</c:v>
                </c:pt>
                <c:pt idx="1">
                  <c:v>7844.45</c:v>
                </c:pt>
                <c:pt idx="2">
                  <c:v>4489.32</c:v>
                </c:pt>
                <c:pt idx="3">
                  <c:v>7111.42</c:v>
                </c:pt>
                <c:pt idx="4">
                  <c:v>5323.1399999999994</c:v>
                </c:pt>
                <c:pt idx="5">
                  <c:v>3804.3500000000004</c:v>
                </c:pt>
                <c:pt idx="6">
                  <c:v>4186.6699999999992</c:v>
                </c:pt>
                <c:pt idx="7">
                  <c:v>4018.2000000000003</c:v>
                </c:pt>
                <c:pt idx="8">
                  <c:v>8275.41</c:v>
                </c:pt>
                <c:pt idx="9">
                  <c:v>4419.2</c:v>
                </c:pt>
                <c:pt idx="10">
                  <c:v>2786.2700000000004</c:v>
                </c:pt>
                <c:pt idx="11">
                  <c:v>6583.1900000000005</c:v>
                </c:pt>
              </c:numCache>
            </c:numRef>
          </c:val>
          <c:extLst>
            <c:ext xmlns:c16="http://schemas.microsoft.com/office/drawing/2014/chart" uri="{C3380CC4-5D6E-409C-BE32-E72D297353CC}">
              <c16:uniqueId val="{00000000-3F50-824B-836D-1A3EEB551928}"/>
            </c:ext>
          </c:extLst>
        </c:ser>
        <c:dLbls>
          <c:showLegendKey val="0"/>
          <c:showVal val="0"/>
          <c:showCatName val="0"/>
          <c:showSerName val="0"/>
          <c:showPercent val="0"/>
          <c:showBubbleSize val="0"/>
        </c:dLbls>
        <c:gapWidth val="219"/>
        <c:overlap val="-27"/>
        <c:axId val="1977920896"/>
        <c:axId val="1977909248"/>
      </c:barChart>
      <c:catAx>
        <c:axId val="197792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77909248"/>
        <c:crosses val="autoZero"/>
        <c:auto val="1"/>
        <c:lblAlgn val="ctr"/>
        <c:lblOffset val="100"/>
        <c:noMultiLvlLbl val="0"/>
      </c:catAx>
      <c:valAx>
        <c:axId val="197790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7792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&amp; Profit Performance Dashboard.xlsx]Analysis!PivotTable9</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Analysis!$C$23</c:f>
              <c:strCache>
                <c:ptCount val="1"/>
                <c:pt idx="0">
                  <c:v>Sum of Sales</c:v>
                </c:pt>
              </c:strCache>
            </c:strRef>
          </c:tx>
          <c:spPr>
            <a:solidFill>
              <a:schemeClr val="accent1"/>
            </a:solidFill>
            <a:ln>
              <a:noFill/>
            </a:ln>
            <a:effectLst/>
          </c:spPr>
          <c:invertIfNegative val="0"/>
          <c:cat>
            <c:strRef>
              <c:f>Analysis!$B$24:$B$27</c:f>
              <c:strCache>
                <c:ptCount val="3"/>
                <c:pt idx="0">
                  <c:v>Furniture</c:v>
                </c:pt>
                <c:pt idx="1">
                  <c:v>Office Supplies</c:v>
                </c:pt>
                <c:pt idx="2">
                  <c:v>Technology</c:v>
                </c:pt>
              </c:strCache>
            </c:strRef>
          </c:cat>
          <c:val>
            <c:numRef>
              <c:f>Analysis!$C$24:$C$27</c:f>
              <c:numCache>
                <c:formatCode>General</c:formatCode>
                <c:ptCount val="3"/>
                <c:pt idx="0">
                  <c:v>18484.22</c:v>
                </c:pt>
                <c:pt idx="1">
                  <c:v>20064.389999999992</c:v>
                </c:pt>
                <c:pt idx="2">
                  <c:v>26131.54</c:v>
                </c:pt>
              </c:numCache>
            </c:numRef>
          </c:val>
          <c:extLst>
            <c:ext xmlns:c16="http://schemas.microsoft.com/office/drawing/2014/chart" uri="{C3380CC4-5D6E-409C-BE32-E72D297353CC}">
              <c16:uniqueId val="{00000000-2D4E-464B-A165-46C9457AB147}"/>
            </c:ext>
          </c:extLst>
        </c:ser>
        <c:ser>
          <c:idx val="1"/>
          <c:order val="1"/>
          <c:tx>
            <c:strRef>
              <c:f>Analysis!$D$23</c:f>
              <c:strCache>
                <c:ptCount val="1"/>
                <c:pt idx="0">
                  <c:v>Sum of Profit</c:v>
                </c:pt>
              </c:strCache>
            </c:strRef>
          </c:tx>
          <c:spPr>
            <a:solidFill>
              <a:schemeClr val="accent2"/>
            </a:solidFill>
            <a:ln>
              <a:noFill/>
            </a:ln>
            <a:effectLst/>
          </c:spPr>
          <c:invertIfNegative val="0"/>
          <c:cat>
            <c:strRef>
              <c:f>Analysis!$B$24:$B$27</c:f>
              <c:strCache>
                <c:ptCount val="3"/>
                <c:pt idx="0">
                  <c:v>Furniture</c:v>
                </c:pt>
                <c:pt idx="1">
                  <c:v>Office Supplies</c:v>
                </c:pt>
                <c:pt idx="2">
                  <c:v>Technology</c:v>
                </c:pt>
              </c:strCache>
            </c:strRef>
          </c:cat>
          <c:val>
            <c:numRef>
              <c:f>Analysis!$D$24:$D$27</c:f>
              <c:numCache>
                <c:formatCode>General</c:formatCode>
                <c:ptCount val="3"/>
                <c:pt idx="0">
                  <c:v>1423.1499999999999</c:v>
                </c:pt>
                <c:pt idx="1">
                  <c:v>2530.2600000000007</c:v>
                </c:pt>
                <c:pt idx="2">
                  <c:v>1464.58</c:v>
                </c:pt>
              </c:numCache>
            </c:numRef>
          </c:val>
          <c:extLst>
            <c:ext xmlns:c16="http://schemas.microsoft.com/office/drawing/2014/chart" uri="{C3380CC4-5D6E-409C-BE32-E72D297353CC}">
              <c16:uniqueId val="{00000001-2D4E-464B-A165-46C9457AB147}"/>
            </c:ext>
          </c:extLst>
        </c:ser>
        <c:dLbls>
          <c:showLegendKey val="0"/>
          <c:showVal val="0"/>
          <c:showCatName val="0"/>
          <c:showSerName val="0"/>
          <c:showPercent val="0"/>
          <c:showBubbleSize val="0"/>
        </c:dLbls>
        <c:gapWidth val="219"/>
        <c:overlap val="-27"/>
        <c:axId val="2064024448"/>
        <c:axId val="1977904960"/>
      </c:barChart>
      <c:catAx>
        <c:axId val="206402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77904960"/>
        <c:crosses val="autoZero"/>
        <c:auto val="1"/>
        <c:lblAlgn val="ctr"/>
        <c:lblOffset val="100"/>
        <c:noMultiLvlLbl val="0"/>
      </c:catAx>
      <c:valAx>
        <c:axId val="197790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06402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&amp; Profit Performance Dashboard.xlsx]Analysis!PivotTable10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Analysis!$C$32</c:f>
              <c:strCache>
                <c:ptCount val="1"/>
                <c:pt idx="0">
                  <c:v>Total</c:v>
                </c:pt>
              </c:strCache>
            </c:strRef>
          </c:tx>
          <c:spPr>
            <a:solidFill>
              <a:schemeClr val="accent1"/>
            </a:solidFill>
            <a:ln>
              <a:noFill/>
            </a:ln>
            <a:effectLst/>
          </c:spPr>
          <c:invertIfNegative val="0"/>
          <c:cat>
            <c:strRef>
              <c:f>Analysis!$B$33:$B$37</c:f>
              <c:strCache>
                <c:ptCount val="4"/>
                <c:pt idx="0">
                  <c:v>Central</c:v>
                </c:pt>
                <c:pt idx="1">
                  <c:v>East</c:v>
                </c:pt>
                <c:pt idx="2">
                  <c:v>South</c:v>
                </c:pt>
                <c:pt idx="3">
                  <c:v>West</c:v>
                </c:pt>
              </c:strCache>
            </c:strRef>
          </c:cat>
          <c:val>
            <c:numRef>
              <c:f>Analysis!$C$33:$C$37</c:f>
              <c:numCache>
                <c:formatCode>General</c:formatCode>
                <c:ptCount val="4"/>
                <c:pt idx="0">
                  <c:v>452.69000000000005</c:v>
                </c:pt>
                <c:pt idx="1">
                  <c:v>1136.0800000000002</c:v>
                </c:pt>
                <c:pt idx="2">
                  <c:v>1848.7600000000002</c:v>
                </c:pt>
                <c:pt idx="3">
                  <c:v>1980.46</c:v>
                </c:pt>
              </c:numCache>
            </c:numRef>
          </c:val>
          <c:extLst>
            <c:ext xmlns:c16="http://schemas.microsoft.com/office/drawing/2014/chart" uri="{C3380CC4-5D6E-409C-BE32-E72D297353CC}">
              <c16:uniqueId val="{00000000-151B-C543-96E6-9E2DF06AEDBA}"/>
            </c:ext>
          </c:extLst>
        </c:ser>
        <c:dLbls>
          <c:showLegendKey val="0"/>
          <c:showVal val="0"/>
          <c:showCatName val="0"/>
          <c:showSerName val="0"/>
          <c:showPercent val="0"/>
          <c:showBubbleSize val="0"/>
        </c:dLbls>
        <c:gapWidth val="219"/>
        <c:overlap val="-27"/>
        <c:axId val="2065693120"/>
        <c:axId val="1977991168"/>
      </c:barChart>
      <c:catAx>
        <c:axId val="206569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77991168"/>
        <c:crosses val="autoZero"/>
        <c:auto val="1"/>
        <c:lblAlgn val="ctr"/>
        <c:lblOffset val="100"/>
        <c:noMultiLvlLbl val="0"/>
      </c:catAx>
      <c:valAx>
        <c:axId val="197799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06569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&amp; Profit Performance Dashboard.xlsx]Analysis!PivotTable11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Analysis!$C$42</c:f>
              <c:strCache>
                <c:ptCount val="1"/>
                <c:pt idx="0">
                  <c:v>Sum of Sales</c:v>
                </c:pt>
              </c:strCache>
            </c:strRef>
          </c:tx>
          <c:spPr>
            <a:solidFill>
              <a:schemeClr val="accent1"/>
            </a:solidFill>
            <a:ln>
              <a:noFill/>
            </a:ln>
            <a:effectLst/>
          </c:spPr>
          <c:invertIfNegative val="0"/>
          <c:cat>
            <c:strRef>
              <c:f>Analysis!$B$43:$B$46</c:f>
              <c:strCache>
                <c:ptCount val="3"/>
                <c:pt idx="0">
                  <c:v>Furniture</c:v>
                </c:pt>
                <c:pt idx="1">
                  <c:v>Office Supplies</c:v>
                </c:pt>
                <c:pt idx="2">
                  <c:v>Technology</c:v>
                </c:pt>
              </c:strCache>
            </c:strRef>
          </c:cat>
          <c:val>
            <c:numRef>
              <c:f>Analysis!$C$43:$C$46</c:f>
              <c:numCache>
                <c:formatCode>General</c:formatCode>
                <c:ptCount val="3"/>
                <c:pt idx="0">
                  <c:v>18484.22</c:v>
                </c:pt>
                <c:pt idx="1">
                  <c:v>20064.389999999992</c:v>
                </c:pt>
                <c:pt idx="2">
                  <c:v>26131.54</c:v>
                </c:pt>
              </c:numCache>
            </c:numRef>
          </c:val>
          <c:extLst>
            <c:ext xmlns:c16="http://schemas.microsoft.com/office/drawing/2014/chart" uri="{C3380CC4-5D6E-409C-BE32-E72D297353CC}">
              <c16:uniqueId val="{00000000-EDFD-9048-9D7C-16384D27205A}"/>
            </c:ext>
          </c:extLst>
        </c:ser>
        <c:ser>
          <c:idx val="1"/>
          <c:order val="1"/>
          <c:tx>
            <c:strRef>
              <c:f>Analysis!$D$42</c:f>
              <c:strCache>
                <c:ptCount val="1"/>
                <c:pt idx="0">
                  <c:v>Sum of Profit</c:v>
                </c:pt>
              </c:strCache>
            </c:strRef>
          </c:tx>
          <c:spPr>
            <a:solidFill>
              <a:schemeClr val="accent2"/>
            </a:solidFill>
            <a:ln>
              <a:noFill/>
            </a:ln>
            <a:effectLst/>
          </c:spPr>
          <c:invertIfNegative val="0"/>
          <c:cat>
            <c:strRef>
              <c:f>Analysis!$B$43:$B$46</c:f>
              <c:strCache>
                <c:ptCount val="3"/>
                <c:pt idx="0">
                  <c:v>Furniture</c:v>
                </c:pt>
                <c:pt idx="1">
                  <c:v>Office Supplies</c:v>
                </c:pt>
                <c:pt idx="2">
                  <c:v>Technology</c:v>
                </c:pt>
              </c:strCache>
            </c:strRef>
          </c:cat>
          <c:val>
            <c:numRef>
              <c:f>Analysis!$D$43:$D$46</c:f>
              <c:numCache>
                <c:formatCode>General</c:formatCode>
                <c:ptCount val="3"/>
                <c:pt idx="0">
                  <c:v>1423.1499999999999</c:v>
                </c:pt>
                <c:pt idx="1">
                  <c:v>2530.2600000000007</c:v>
                </c:pt>
                <c:pt idx="2">
                  <c:v>1464.58</c:v>
                </c:pt>
              </c:numCache>
            </c:numRef>
          </c:val>
          <c:extLst>
            <c:ext xmlns:c16="http://schemas.microsoft.com/office/drawing/2014/chart" uri="{C3380CC4-5D6E-409C-BE32-E72D297353CC}">
              <c16:uniqueId val="{00000001-EDFD-9048-9D7C-16384D27205A}"/>
            </c:ext>
          </c:extLst>
        </c:ser>
        <c:ser>
          <c:idx val="2"/>
          <c:order val="2"/>
          <c:tx>
            <c:strRef>
              <c:f>Analysis!$E$42</c:f>
              <c:strCache>
                <c:ptCount val="1"/>
                <c:pt idx="0">
                  <c:v>Sum of Profit Margin% </c:v>
                </c:pt>
              </c:strCache>
            </c:strRef>
          </c:tx>
          <c:spPr>
            <a:solidFill>
              <a:schemeClr val="accent3"/>
            </a:solidFill>
            <a:ln>
              <a:noFill/>
            </a:ln>
            <a:effectLst/>
          </c:spPr>
          <c:invertIfNegative val="0"/>
          <c:cat>
            <c:strRef>
              <c:f>Analysis!$B$43:$B$46</c:f>
              <c:strCache>
                <c:ptCount val="3"/>
                <c:pt idx="0">
                  <c:v>Furniture</c:v>
                </c:pt>
                <c:pt idx="1">
                  <c:v>Office Supplies</c:v>
                </c:pt>
                <c:pt idx="2">
                  <c:v>Technology</c:v>
                </c:pt>
              </c:strCache>
            </c:strRef>
          </c:cat>
          <c:val>
            <c:numRef>
              <c:f>Analysis!$E$43:$E$46</c:f>
              <c:numCache>
                <c:formatCode>General</c:formatCode>
                <c:ptCount val="3"/>
                <c:pt idx="0">
                  <c:v>7.4589681205215763</c:v>
                </c:pt>
                <c:pt idx="1">
                  <c:v>5.3635569446911262</c:v>
                </c:pt>
                <c:pt idx="2">
                  <c:v>6.3222049683755417</c:v>
                </c:pt>
              </c:numCache>
            </c:numRef>
          </c:val>
          <c:extLst>
            <c:ext xmlns:c16="http://schemas.microsoft.com/office/drawing/2014/chart" uri="{C3380CC4-5D6E-409C-BE32-E72D297353CC}">
              <c16:uniqueId val="{00000002-EDFD-9048-9D7C-16384D27205A}"/>
            </c:ext>
          </c:extLst>
        </c:ser>
        <c:dLbls>
          <c:showLegendKey val="0"/>
          <c:showVal val="0"/>
          <c:showCatName val="0"/>
          <c:showSerName val="0"/>
          <c:showPercent val="0"/>
          <c:showBubbleSize val="0"/>
        </c:dLbls>
        <c:gapWidth val="219"/>
        <c:overlap val="-27"/>
        <c:axId val="1981998720"/>
        <c:axId val="1982000512"/>
      </c:barChart>
      <c:catAx>
        <c:axId val="198199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82000512"/>
        <c:crosses val="autoZero"/>
        <c:auto val="1"/>
        <c:lblAlgn val="ctr"/>
        <c:lblOffset val="100"/>
        <c:noMultiLvlLbl val="0"/>
      </c:catAx>
      <c:valAx>
        <c:axId val="198200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8199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12</xdr:row>
      <xdr:rowOff>25400</xdr:rowOff>
    </xdr:from>
    <xdr:to>
      <xdr:col>6</xdr:col>
      <xdr:colOff>533400</xdr:colOff>
      <xdr:row>25</xdr:row>
      <xdr:rowOff>127000</xdr:rowOff>
    </xdr:to>
    <xdr:graphicFrame macro="">
      <xdr:nvGraphicFramePr>
        <xdr:cNvPr id="2" name="Chart 2">
          <a:extLst>
            <a:ext uri="{FF2B5EF4-FFF2-40B4-BE49-F238E27FC236}">
              <a16:creationId xmlns:a16="http://schemas.microsoft.com/office/drawing/2014/main" id="{57F57888-50BC-7431-1FC8-270BBCD06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31</xdr:row>
      <xdr:rowOff>0</xdr:rowOff>
    </xdr:from>
    <xdr:to>
      <xdr:col>6</xdr:col>
      <xdr:colOff>387350</xdr:colOff>
      <xdr:row>44</xdr:row>
      <xdr:rowOff>101600</xdr:rowOff>
    </xdr:to>
    <xdr:graphicFrame macro="">
      <xdr:nvGraphicFramePr>
        <xdr:cNvPr id="3" name="Chart 3">
          <a:extLst>
            <a:ext uri="{FF2B5EF4-FFF2-40B4-BE49-F238E27FC236}">
              <a16:creationId xmlns:a16="http://schemas.microsoft.com/office/drawing/2014/main" id="{34622B4E-DA7D-1ABC-C834-657583E5F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51</xdr:row>
      <xdr:rowOff>25400</xdr:rowOff>
    </xdr:from>
    <xdr:to>
      <xdr:col>6</xdr:col>
      <xdr:colOff>520700</xdr:colOff>
      <xdr:row>64</xdr:row>
      <xdr:rowOff>127000</xdr:rowOff>
    </xdr:to>
    <xdr:graphicFrame macro="">
      <xdr:nvGraphicFramePr>
        <xdr:cNvPr id="4" name="Chart 4">
          <a:extLst>
            <a:ext uri="{FF2B5EF4-FFF2-40B4-BE49-F238E27FC236}">
              <a16:creationId xmlns:a16="http://schemas.microsoft.com/office/drawing/2014/main" id="{C4A8F438-BAE4-BC46-AD7D-B6860320B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70</xdr:row>
      <xdr:rowOff>25400</xdr:rowOff>
    </xdr:from>
    <xdr:to>
      <xdr:col>6</xdr:col>
      <xdr:colOff>660400</xdr:colOff>
      <xdr:row>83</xdr:row>
      <xdr:rowOff>127000</xdr:rowOff>
    </xdr:to>
    <xdr:graphicFrame macro="">
      <xdr:nvGraphicFramePr>
        <xdr:cNvPr id="5" name="Chart 5">
          <a:extLst>
            <a:ext uri="{FF2B5EF4-FFF2-40B4-BE49-F238E27FC236}">
              <a16:creationId xmlns:a16="http://schemas.microsoft.com/office/drawing/2014/main" id="{4FCFEB9C-A6AE-407F-72DF-1C7A070B1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12700</xdr:colOff>
      <xdr:row>12</xdr:row>
      <xdr:rowOff>12700</xdr:rowOff>
    </xdr:from>
    <xdr:to>
      <xdr:col>11</xdr:col>
      <xdr:colOff>0</xdr:colOff>
      <xdr:row>25</xdr:row>
      <xdr:rowOff>12700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99F8C2D7-69F3-7C0C-DD83-44E387FA46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74200" y="2743200"/>
              <a:ext cx="1612900" cy="2641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12700</xdr:colOff>
      <xdr:row>12</xdr:row>
      <xdr:rowOff>0</xdr:rowOff>
    </xdr:from>
    <xdr:to>
      <xdr:col>14</xdr:col>
      <xdr:colOff>25400</xdr:colOff>
      <xdr:row>25</xdr:row>
      <xdr:rowOff>12700</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5B90E9CF-3AB1-41F4-76A8-51961B44EAA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912600" y="2730500"/>
              <a:ext cx="1651000" cy="2654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12700</xdr:colOff>
      <xdr:row>12</xdr:row>
      <xdr:rowOff>0</xdr:rowOff>
    </xdr:from>
    <xdr:to>
      <xdr:col>17</xdr:col>
      <xdr:colOff>12700</xdr:colOff>
      <xdr:row>25</xdr:row>
      <xdr:rowOff>0</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6C363FDB-1507-250F-4D8C-4381D71C983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4439900" y="2730500"/>
              <a:ext cx="1752600" cy="2641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wad" refreshedDate="46054.749200578706" createdVersion="8" refreshedVersion="8" minRefreshableVersion="3" recordCount="125" xr:uid="{33668B1A-83EB-8A46-8AE5-8E8CEB915D3D}">
  <cacheSource type="worksheet">
    <worksheetSource ref="A1:I126" sheet="Clean_Data"/>
  </cacheSource>
  <cacheFields count="9">
    <cacheField name="Order ID" numFmtId="0">
      <sharedItems/>
    </cacheField>
    <cacheField name="Order Date" numFmtId="14">
      <sharedItems containsSemiMixedTypes="0" containsNonDate="0" containsDate="1" containsString="0" minDate="2023-01-03T00:00:00" maxDate="2026-03-31T00:00:00"/>
    </cacheField>
    <cacheField name="Region" numFmtId="0">
      <sharedItems count="4">
        <s v="Central"/>
        <s v="East"/>
        <s v="South"/>
        <s v="West"/>
      </sharedItems>
    </cacheField>
    <cacheField name="Category" numFmtId="0">
      <sharedItems count="3">
        <s v="Office Supplies"/>
        <s v="Furniture"/>
        <s v="Technology"/>
      </sharedItems>
    </cacheField>
    <cacheField name="Product Name" numFmtId="0">
      <sharedItems/>
    </cacheField>
    <cacheField name="Sales" numFmtId="0">
      <sharedItems containsSemiMixedTypes="0" containsString="0" containsNumber="1" minValue="58.31" maxValue="982.3"/>
    </cacheField>
    <cacheField name="Profit" numFmtId="0">
      <sharedItems containsSemiMixedTypes="0" containsString="0" containsNumber="1" minValue="-197.33" maxValue="294.70999999999998"/>
    </cacheField>
    <cacheField name="Month" numFmtId="0">
      <sharedItems count="12">
        <s v="Jan"/>
        <s v="Feb"/>
        <s v="Mar"/>
        <s v="Apr"/>
        <s v="May"/>
        <s v="Jun"/>
        <s v="Jul"/>
        <s v="Aug"/>
        <s v="Sep"/>
        <s v="Nov"/>
        <s v="Dec"/>
        <s v="Oct"/>
      </sharedItems>
    </cacheField>
    <cacheField name="Profit Margin% " numFmtId="0">
      <sharedItems containsSemiMixedTypes="0" containsString="0" containsNumber="1" minValue="-2.7174055829228245" maxValue="3.7005659406619791"/>
    </cacheField>
  </cacheFields>
  <extLst>
    <ext xmlns:x14="http://schemas.microsoft.com/office/spreadsheetml/2009/9/main" uri="{725AE2AE-9491-48be-B2B4-4EB974FC3084}">
      <x14:pivotCacheDefinition pivotCacheId="2106881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s v="ORD-1002"/>
    <d v="2023-01-03T00:00:00"/>
    <x v="0"/>
    <x v="0"/>
    <s v="Chair"/>
    <n v="425.77"/>
    <n v="-162.59"/>
    <x v="0"/>
    <n v="-0.38187284214481998"/>
  </r>
  <r>
    <s v="ORD-1026"/>
    <d v="2023-01-27T00:00:00"/>
    <x v="0"/>
    <x v="1"/>
    <s v="Printer"/>
    <n v="574.84"/>
    <n v="-108.72"/>
    <x v="0"/>
    <n v="-0.18913088859508731"/>
  </r>
  <r>
    <s v="ORD-1040"/>
    <d v="2023-02-10T00:00:00"/>
    <x v="1"/>
    <x v="0"/>
    <s v="Phone"/>
    <n v="167.65"/>
    <n v="170.87"/>
    <x v="1"/>
    <n v="1.0192066805845512"/>
  </r>
  <r>
    <s v="ORD-1043"/>
    <d v="2023-02-13T00:00:00"/>
    <x v="2"/>
    <x v="1"/>
    <s v="Laptop"/>
    <n v="926.73"/>
    <n v="160.62"/>
    <x v="1"/>
    <n v="0.17331908970250234"/>
  </r>
  <r>
    <s v="ORD-1054"/>
    <d v="2023-02-24T00:00:00"/>
    <x v="0"/>
    <x v="0"/>
    <s v="Phone"/>
    <n v="643.91"/>
    <n v="81.95"/>
    <x v="1"/>
    <n v="0.12726933888276312"/>
  </r>
  <r>
    <s v="ORD-1060"/>
    <d v="2023-03-02T00:00:00"/>
    <x v="2"/>
    <x v="2"/>
    <s v="Phone"/>
    <n v="95.16"/>
    <n v="247.08"/>
    <x v="2"/>
    <n v="2.5964691046658261"/>
  </r>
  <r>
    <s v="ORD-1089"/>
    <d v="2023-03-31T00:00:00"/>
    <x v="3"/>
    <x v="1"/>
    <s v="Laptop"/>
    <n v="192.92"/>
    <n v="244.33"/>
    <x v="2"/>
    <n v="1.2664835164835166"/>
  </r>
  <r>
    <s v="ORD-1097"/>
    <d v="2023-04-08T00:00:00"/>
    <x v="3"/>
    <x v="2"/>
    <s v="Laptop"/>
    <n v="775.09"/>
    <n v="264.54000000000002"/>
    <x v="3"/>
    <n v="0.34130230037802062"/>
  </r>
  <r>
    <s v="ORD-1106"/>
    <d v="2023-04-17T00:00:00"/>
    <x v="3"/>
    <x v="0"/>
    <s v="Chair"/>
    <n v="706.58"/>
    <n v="41.62"/>
    <x v="3"/>
    <n v="5.8903450423165096E-2"/>
  </r>
  <r>
    <s v="ORD-1115"/>
    <d v="2023-04-26T00:00:00"/>
    <x v="1"/>
    <x v="2"/>
    <s v="Chair"/>
    <n v="619.66"/>
    <n v="24.24"/>
    <x v="3"/>
    <n v="3.9118226124003487E-2"/>
  </r>
  <r>
    <s v="ORD-1119"/>
    <d v="2023-04-30T00:00:00"/>
    <x v="3"/>
    <x v="0"/>
    <s v="Chair"/>
    <n v="682.66"/>
    <n v="90.2"/>
    <x v="3"/>
    <n v="0.13213019658395103"/>
  </r>
  <r>
    <s v="ORD-1126"/>
    <d v="2023-05-07T00:00:00"/>
    <x v="2"/>
    <x v="1"/>
    <s v="Printer"/>
    <n v="672.18"/>
    <n v="-79.44"/>
    <x v="4"/>
    <n v="-0.11818262965277158"/>
  </r>
  <r>
    <s v="ORD-1133"/>
    <d v="2023-05-14T00:00:00"/>
    <x v="1"/>
    <x v="1"/>
    <s v="Phone"/>
    <n v="221.94"/>
    <n v="-185.09"/>
    <x v="4"/>
    <n v="-0.83396413445075246"/>
  </r>
  <r>
    <s v="ORD-1140"/>
    <d v="2023-05-21T00:00:00"/>
    <x v="1"/>
    <x v="0"/>
    <s v="Chair"/>
    <n v="797.32"/>
    <n v="41.18"/>
    <x v="4"/>
    <n v="5.1648020869914206E-2"/>
  </r>
  <r>
    <s v="ORD-1149"/>
    <d v="2023-05-30T00:00:00"/>
    <x v="3"/>
    <x v="0"/>
    <s v="Chair"/>
    <n v="922.57"/>
    <n v="-36.43"/>
    <x v="4"/>
    <n v="-3.9487518562277113E-2"/>
  </r>
  <r>
    <s v="ORD-1155"/>
    <d v="2023-06-05T00:00:00"/>
    <x v="3"/>
    <x v="2"/>
    <s v="Chair"/>
    <n v="441.54"/>
    <n v="-90.37"/>
    <x v="5"/>
    <n v="-0.20467001857136385"/>
  </r>
  <r>
    <s v="ORD-1167"/>
    <d v="2023-06-17T00:00:00"/>
    <x v="1"/>
    <x v="2"/>
    <s v="Phone"/>
    <n v="712.54"/>
    <n v="294.64"/>
    <x v="5"/>
    <n v="0.41350661015521933"/>
  </r>
  <r>
    <s v="ORD-1174"/>
    <d v="2023-06-24T00:00:00"/>
    <x v="2"/>
    <x v="0"/>
    <s v="Chair"/>
    <n v="540.15"/>
    <n v="-71.349999999999994"/>
    <x v="5"/>
    <n v="-0.13209293714708878"/>
  </r>
  <r>
    <s v="ORD-1186"/>
    <d v="2023-07-06T00:00:00"/>
    <x v="3"/>
    <x v="0"/>
    <s v="Chair"/>
    <n v="192.35"/>
    <n v="-7.03"/>
    <x v="6"/>
    <n v="-3.6547959448921238E-2"/>
  </r>
  <r>
    <s v="ORD-1203"/>
    <d v="2023-07-23T00:00:00"/>
    <x v="2"/>
    <x v="0"/>
    <s v="Chair"/>
    <n v="163.15"/>
    <n v="294.70999999999998"/>
    <x v="6"/>
    <n v="1.8063745019920316"/>
  </r>
  <r>
    <s v="ORD-1207"/>
    <d v="2023-07-27T00:00:00"/>
    <x v="3"/>
    <x v="0"/>
    <s v="Laptop"/>
    <n v="704.92"/>
    <n v="239.99"/>
    <x v="6"/>
    <n v="0.34044998013959032"/>
  </r>
  <r>
    <s v="ORD-1218"/>
    <d v="2023-08-07T00:00:00"/>
    <x v="1"/>
    <x v="0"/>
    <s v="Table"/>
    <n v="175.55"/>
    <n v="279.93"/>
    <x v="7"/>
    <n v="1.5945884363429221"/>
  </r>
  <r>
    <s v="ORD-1220"/>
    <d v="2023-08-09T00:00:00"/>
    <x v="0"/>
    <x v="0"/>
    <s v="Chair"/>
    <n v="254.84"/>
    <n v="-123.5"/>
    <x v="7"/>
    <n v="-0.48461779940354732"/>
  </r>
  <r>
    <s v="ORD-1221"/>
    <d v="2023-08-10T00:00:00"/>
    <x v="0"/>
    <x v="2"/>
    <s v="Phone"/>
    <n v="271.73"/>
    <n v="87.01"/>
    <x v="7"/>
    <n v="0.32020755897398151"/>
  </r>
  <r>
    <s v="ORD-1237"/>
    <d v="2023-08-26T00:00:00"/>
    <x v="1"/>
    <x v="0"/>
    <s v="Laptop"/>
    <n v="862.61"/>
    <n v="0.97"/>
    <x v="7"/>
    <n v="1.1244942673977812E-3"/>
  </r>
  <r>
    <s v="ORD-1241"/>
    <d v="2023-08-30T00:00:00"/>
    <x v="2"/>
    <x v="2"/>
    <s v="Laptop"/>
    <n v="125.63"/>
    <n v="-188.75"/>
    <x v="7"/>
    <n v="-1.5024277640690917"/>
  </r>
  <r>
    <s v="ORD-1244"/>
    <d v="2023-09-02T00:00:00"/>
    <x v="1"/>
    <x v="1"/>
    <s v="Phone"/>
    <n v="891.14"/>
    <n v="-81.739999999999995"/>
    <x v="8"/>
    <n v="-9.1725205916017682E-2"/>
  </r>
  <r>
    <s v="ORD-1246"/>
    <d v="2023-09-04T00:00:00"/>
    <x v="3"/>
    <x v="1"/>
    <s v="Chair"/>
    <n v="895.31"/>
    <n v="117.81"/>
    <x v="8"/>
    <n v="0.13158570774368655"/>
  </r>
  <r>
    <s v="ORD-1254"/>
    <d v="2023-09-12T00:00:00"/>
    <x v="0"/>
    <x v="1"/>
    <s v="Printer"/>
    <n v="226.78"/>
    <n v="207.18"/>
    <x v="8"/>
    <n v="0.91357262545197992"/>
  </r>
  <r>
    <s v="ORD-1256"/>
    <d v="2023-09-14T00:00:00"/>
    <x v="2"/>
    <x v="2"/>
    <s v="Printer"/>
    <n v="713.65"/>
    <n v="258.52999999999997"/>
    <x v="8"/>
    <n v="0.36226441532964337"/>
  </r>
  <r>
    <s v="ORD-1269"/>
    <d v="2023-09-27T00:00:00"/>
    <x v="0"/>
    <x v="0"/>
    <s v="Laptop"/>
    <n v="287.25"/>
    <n v="258.56"/>
    <x v="8"/>
    <n v="0.90012184508268056"/>
  </r>
  <r>
    <s v="ORD-1310"/>
    <d v="2023-11-07T00:00:00"/>
    <x v="1"/>
    <x v="2"/>
    <s v="Phone"/>
    <n v="653.64"/>
    <n v="-18.39"/>
    <x v="9"/>
    <n v="-2.8134753075087206E-2"/>
  </r>
  <r>
    <s v="ORD-1315"/>
    <d v="2023-11-12T00:00:00"/>
    <x v="0"/>
    <x v="0"/>
    <s v="Laptop"/>
    <n v="436.56"/>
    <n v="-172.31"/>
    <x v="9"/>
    <n v="-0.39469946857247573"/>
  </r>
  <r>
    <s v="ORD-1336"/>
    <d v="2023-12-03T00:00:00"/>
    <x v="1"/>
    <x v="1"/>
    <s v="Laptop"/>
    <n v="642.57000000000005"/>
    <n v="7.4"/>
    <x v="10"/>
    <n v="1.1516255038361579E-2"/>
  </r>
  <r>
    <s v="ORD-1338"/>
    <d v="2023-12-05T00:00:00"/>
    <x v="1"/>
    <x v="0"/>
    <s v="Phone"/>
    <n v="677.03"/>
    <n v="141.41999999999999"/>
    <x v="10"/>
    <n v="0.20888291508500362"/>
  </r>
  <r>
    <s v="ORD-1349"/>
    <d v="2023-12-16T00:00:00"/>
    <x v="1"/>
    <x v="2"/>
    <s v="Printer"/>
    <n v="720.29"/>
    <n v="-11.79"/>
    <x v="10"/>
    <n v="-1.6368407169334572E-2"/>
  </r>
  <r>
    <s v="ORD-1377"/>
    <d v="2024-01-13T00:00:00"/>
    <x v="0"/>
    <x v="2"/>
    <s v="Printer"/>
    <n v="348.38"/>
    <n v="-186.16"/>
    <x v="0"/>
    <n v="-0.53435903323956602"/>
  </r>
  <r>
    <s v="ORD-1394"/>
    <d v="2024-01-30T00:00:00"/>
    <x v="3"/>
    <x v="0"/>
    <s v="Printer"/>
    <n v="71.650000000000006"/>
    <n v="-90.54"/>
    <x v="0"/>
    <n v="-1.2636427076064201"/>
  </r>
  <r>
    <s v="ORD-1397"/>
    <d v="2024-02-02T00:00:00"/>
    <x v="0"/>
    <x v="1"/>
    <s v="Printer"/>
    <n v="935.03"/>
    <n v="-117.54"/>
    <x v="1"/>
    <n v="-0.12570719656053816"/>
  </r>
  <r>
    <s v="ORD-1406"/>
    <d v="2024-02-11T00:00:00"/>
    <x v="2"/>
    <x v="1"/>
    <s v="Table"/>
    <n v="338.71"/>
    <n v="-196.34"/>
    <x v="1"/>
    <n v="-0.57966992412388185"/>
  </r>
  <r>
    <s v="ORD-1431"/>
    <d v="2024-03-07T00:00:00"/>
    <x v="0"/>
    <x v="0"/>
    <s v="Laptop"/>
    <n v="278.18"/>
    <n v="-162.9"/>
    <x v="2"/>
    <n v="-0.58559206269322017"/>
  </r>
  <r>
    <s v="ORD-1448"/>
    <d v="2024-03-24T00:00:00"/>
    <x v="2"/>
    <x v="0"/>
    <s v="Laptop"/>
    <n v="157.6"/>
    <n v="141.57"/>
    <x v="2"/>
    <n v="0.89828680203045685"/>
  </r>
  <r>
    <s v="ORD-1472"/>
    <d v="2024-04-17T00:00:00"/>
    <x v="1"/>
    <x v="0"/>
    <s v="Laptop"/>
    <n v="617.37"/>
    <n v="239.75"/>
    <x v="3"/>
    <n v="0.38834086528337952"/>
  </r>
  <r>
    <s v="ORD-1473"/>
    <d v="2024-04-18T00:00:00"/>
    <x v="3"/>
    <x v="0"/>
    <s v="Table"/>
    <n v="606.65"/>
    <n v="-9.4600000000000009"/>
    <x v="3"/>
    <n v="-1.5593834995466911E-2"/>
  </r>
  <r>
    <s v="ORD-1478"/>
    <d v="2024-04-23T00:00:00"/>
    <x v="2"/>
    <x v="0"/>
    <s v="Laptop"/>
    <n v="329.89"/>
    <n v="282.20999999999998"/>
    <x v="3"/>
    <n v="0.85546697383976478"/>
  </r>
  <r>
    <s v="ORD-1482"/>
    <d v="2024-04-27T00:00:00"/>
    <x v="1"/>
    <x v="2"/>
    <s v="Phone"/>
    <n v="639.41"/>
    <n v="69.36"/>
    <x v="3"/>
    <n v="0.10847500039098544"/>
  </r>
  <r>
    <s v="ORD-1485"/>
    <d v="2024-04-30T00:00:00"/>
    <x v="3"/>
    <x v="1"/>
    <s v="Printer"/>
    <n v="819.2"/>
    <n v="-177.89"/>
    <x v="3"/>
    <n v="-0.21715087890624998"/>
  </r>
  <r>
    <s v="ORD-1486"/>
    <d v="2024-05-01T00:00:00"/>
    <x v="3"/>
    <x v="1"/>
    <s v="Printer"/>
    <n v="726.24"/>
    <n v="275.08"/>
    <x v="4"/>
    <n v="0.37877285745758976"/>
  </r>
  <r>
    <s v="ORD-1487"/>
    <d v="2024-05-02T00:00:00"/>
    <x v="3"/>
    <x v="0"/>
    <s v="Chair"/>
    <n v="513.44000000000005"/>
    <n v="-134.30000000000001"/>
    <x v="4"/>
    <n v="-0.26156902461826115"/>
  </r>
  <r>
    <s v="ORD-1495"/>
    <d v="2024-05-10T00:00:00"/>
    <x v="1"/>
    <x v="1"/>
    <s v="Phone"/>
    <n v="127.31"/>
    <n v="154.19"/>
    <x v="4"/>
    <n v="1.211138166679758"/>
  </r>
  <r>
    <s v="ORD-1530"/>
    <d v="2024-06-14T00:00:00"/>
    <x v="1"/>
    <x v="0"/>
    <s v="Chair"/>
    <n v="818.59"/>
    <n v="9.76"/>
    <x v="5"/>
    <n v="1.1922940666267605E-2"/>
  </r>
  <r>
    <s v="ORD-1532"/>
    <d v="2024-06-16T00:00:00"/>
    <x v="1"/>
    <x v="2"/>
    <s v="Table"/>
    <n v="347.49"/>
    <n v="-40.69"/>
    <x v="5"/>
    <n v="-0.11709689487467265"/>
  </r>
  <r>
    <s v="ORD-1562"/>
    <d v="2024-07-16T00:00:00"/>
    <x v="3"/>
    <x v="0"/>
    <s v="Table"/>
    <n v="484.01"/>
    <n v="258.36"/>
    <x v="6"/>
    <n v="0.53379062416065792"/>
  </r>
  <r>
    <s v="ORD-1565"/>
    <d v="2024-07-19T00:00:00"/>
    <x v="3"/>
    <x v="0"/>
    <s v="Chair"/>
    <n v="472.88"/>
    <n v="-128.9"/>
    <x v="6"/>
    <n v="-0.27258501099644733"/>
  </r>
  <r>
    <s v="ORD-1574"/>
    <d v="2024-07-28T00:00:00"/>
    <x v="3"/>
    <x v="2"/>
    <s v="Laptop"/>
    <n v="982.3"/>
    <n v="182.31"/>
    <x v="6"/>
    <n v="0.18559503206759648"/>
  </r>
  <r>
    <s v="ORD-1575"/>
    <d v="2024-07-29T00:00:00"/>
    <x v="1"/>
    <x v="2"/>
    <s v="Phone"/>
    <n v="698.14"/>
    <n v="-175.64"/>
    <x v="6"/>
    <n v="-0.25158277709341964"/>
  </r>
  <r>
    <s v="ORD-1588"/>
    <d v="2024-08-11T00:00:00"/>
    <x v="0"/>
    <x v="1"/>
    <s v="Laptop"/>
    <n v="534.23"/>
    <n v="-131.07"/>
    <x v="7"/>
    <n v="-0.24534376579375922"/>
  </r>
  <r>
    <s v="ORD-1592"/>
    <d v="2024-08-15T00:00:00"/>
    <x v="2"/>
    <x v="2"/>
    <s v="Printer"/>
    <n v="659.04"/>
    <n v="216.45"/>
    <x v="7"/>
    <n v="0.32843226511289147"/>
  </r>
  <r>
    <s v="ORD-1613"/>
    <d v="2024-09-05T00:00:00"/>
    <x v="0"/>
    <x v="0"/>
    <s v="Table"/>
    <n v="524.38"/>
    <n v="7.13"/>
    <x v="8"/>
    <n v="1.3597009802051948E-2"/>
  </r>
  <r>
    <s v="ORD-1624"/>
    <d v="2024-09-16T00:00:00"/>
    <x v="2"/>
    <x v="2"/>
    <s v="Laptop"/>
    <n v="487.26"/>
    <n v="-101.61"/>
    <x v="8"/>
    <n v="-0.20853343184336903"/>
  </r>
  <r>
    <s v="ORD-1629"/>
    <d v="2024-09-21T00:00:00"/>
    <x v="0"/>
    <x v="2"/>
    <s v="Chair"/>
    <n v="519.27"/>
    <n v="183.06"/>
    <x v="8"/>
    <n v="0.35253336414582009"/>
  </r>
  <r>
    <s v="ORD-1630"/>
    <d v="2024-09-22T00:00:00"/>
    <x v="1"/>
    <x v="2"/>
    <s v="Laptop"/>
    <n v="610.9"/>
    <n v="30.09"/>
    <x v="8"/>
    <n v="4.9255197249959082E-2"/>
  </r>
  <r>
    <s v="ORD-1631"/>
    <d v="2024-09-23T00:00:00"/>
    <x v="2"/>
    <x v="1"/>
    <s v="Laptop"/>
    <n v="271.01"/>
    <n v="-40.630000000000003"/>
    <x v="8"/>
    <n v="-0.14992066713405411"/>
  </r>
  <r>
    <s v="ORD-1640"/>
    <d v="2024-10-02T00:00:00"/>
    <x v="3"/>
    <x v="0"/>
    <s v="Laptop"/>
    <n v="496.46"/>
    <n v="-33.5"/>
    <x v="11"/>
    <n v="-6.7477742416307454E-2"/>
  </r>
  <r>
    <s v="ORD-1644"/>
    <d v="2024-10-06T00:00:00"/>
    <x v="0"/>
    <x v="0"/>
    <s v="Phone"/>
    <n v="205.46"/>
    <n v="-46.32"/>
    <x v="11"/>
    <n v="-0.2254453421590577"/>
  </r>
  <r>
    <s v="ORD-1648"/>
    <d v="2024-10-10T00:00:00"/>
    <x v="1"/>
    <x v="0"/>
    <s v="Phone"/>
    <n v="60.9"/>
    <n v="-165.49"/>
    <x v="11"/>
    <n v="-2.7174055829228245"/>
  </r>
  <r>
    <s v="ORD-1658"/>
    <d v="2024-10-20T00:00:00"/>
    <x v="2"/>
    <x v="1"/>
    <s v="Phone"/>
    <n v="863.22"/>
    <n v="170.82"/>
    <x v="11"/>
    <n v="0.1978869813025648"/>
  </r>
  <r>
    <s v="ORD-1667"/>
    <d v="2024-10-29T00:00:00"/>
    <x v="2"/>
    <x v="1"/>
    <s v="Printer"/>
    <n v="58.31"/>
    <n v="215.78"/>
    <x v="11"/>
    <n v="3.7005659406619791"/>
  </r>
  <r>
    <s v="ORD-1668"/>
    <d v="2024-10-30T00:00:00"/>
    <x v="0"/>
    <x v="1"/>
    <s v="Chair"/>
    <n v="608.35"/>
    <n v="183.4"/>
    <x v="11"/>
    <n v="0.30147119257006655"/>
  </r>
  <r>
    <s v="ORD-1669"/>
    <d v="2024-10-31T00:00:00"/>
    <x v="0"/>
    <x v="0"/>
    <s v="Phone"/>
    <n v="324.45"/>
    <n v="49.38"/>
    <x v="11"/>
    <n v="0.15219602404068425"/>
  </r>
  <r>
    <s v="ORD-1702"/>
    <d v="2024-12-03T00:00:00"/>
    <x v="1"/>
    <x v="2"/>
    <s v="Chair"/>
    <n v="888.28"/>
    <n v="204.51"/>
    <x v="10"/>
    <n v="0.23023145854910612"/>
  </r>
  <r>
    <s v="ORD-1710"/>
    <d v="2024-12-11T00:00:00"/>
    <x v="0"/>
    <x v="2"/>
    <s v="Chair"/>
    <n v="338.01"/>
    <n v="-197.33"/>
    <x v="10"/>
    <n v="-0.58379929587882018"/>
  </r>
  <r>
    <s v="ORD-1720"/>
    <d v="2024-12-21T00:00:00"/>
    <x v="0"/>
    <x v="0"/>
    <s v="Table"/>
    <n v="572.08000000000004"/>
    <n v="196.38"/>
    <x v="10"/>
    <n v="0.34327366801845893"/>
  </r>
  <r>
    <s v="ORD-1740"/>
    <d v="2025-01-10T00:00:00"/>
    <x v="1"/>
    <x v="2"/>
    <s v="Phone"/>
    <n v="88.98"/>
    <n v="-38.49"/>
    <x v="0"/>
    <n v="-0.43256911665542819"/>
  </r>
  <r>
    <s v="ORD-1741"/>
    <d v="2025-01-11T00:00:00"/>
    <x v="1"/>
    <x v="1"/>
    <s v="Printer"/>
    <n v="169.34"/>
    <n v="-82.4"/>
    <x v="0"/>
    <n v="-0.48659501594425419"/>
  </r>
  <r>
    <s v="ORD-1753"/>
    <d v="2025-01-23T00:00:00"/>
    <x v="0"/>
    <x v="2"/>
    <s v="Laptop"/>
    <n v="754.83"/>
    <n v="-187.86"/>
    <x v="0"/>
    <n v="-0.24887723063471245"/>
  </r>
  <r>
    <s v="ORD-1761"/>
    <d v="2025-01-31T00:00:00"/>
    <x v="3"/>
    <x v="1"/>
    <s v="Table"/>
    <n v="696.3"/>
    <n v="155.5"/>
    <x v="0"/>
    <n v="0.22332328019531814"/>
  </r>
  <r>
    <s v="ORD-1770"/>
    <d v="2025-02-09T00:00:00"/>
    <x v="2"/>
    <x v="0"/>
    <s v="Laptop"/>
    <n v="421.9"/>
    <n v="74.88"/>
    <x v="1"/>
    <n v="0.17748281583313583"/>
  </r>
  <r>
    <s v="ORD-1774"/>
    <d v="2025-02-13T00:00:00"/>
    <x v="0"/>
    <x v="1"/>
    <s v="Laptop"/>
    <n v="191.01"/>
    <n v="89.75"/>
    <x v="1"/>
    <n v="0.46987068739856552"/>
  </r>
  <r>
    <s v="ORD-1777"/>
    <d v="2025-02-16T00:00:00"/>
    <x v="0"/>
    <x v="2"/>
    <s v="Printer"/>
    <n v="926.26"/>
    <n v="-92.48"/>
    <x v="1"/>
    <n v="-9.9842376870425159E-2"/>
  </r>
  <r>
    <s v="ORD-1781"/>
    <d v="2025-02-20T00:00:00"/>
    <x v="0"/>
    <x v="0"/>
    <s v="Laptop"/>
    <n v="265.41000000000003"/>
    <n v="200.39"/>
    <x v="1"/>
    <n v="0.75502053426773663"/>
  </r>
  <r>
    <s v="ORD-1785"/>
    <d v="2025-02-24T00:00:00"/>
    <x v="1"/>
    <x v="2"/>
    <s v="Phone"/>
    <n v="772.68"/>
    <n v="70.97"/>
    <x v="1"/>
    <n v="9.1849148418491483E-2"/>
  </r>
  <r>
    <s v="ORD-1790"/>
    <d v="2025-03-01T00:00:00"/>
    <x v="1"/>
    <x v="2"/>
    <s v="Laptop"/>
    <n v="172.04"/>
    <n v="148.97"/>
    <x v="2"/>
    <n v="0.86590327830737046"/>
  </r>
  <r>
    <s v="ORD-1793"/>
    <d v="2025-03-04T00:00:00"/>
    <x v="3"/>
    <x v="1"/>
    <s v="Printer"/>
    <n v="150.22999999999999"/>
    <n v="-146.44"/>
    <x v="2"/>
    <n v="-0.97477201624176268"/>
  </r>
  <r>
    <s v="ORD-1805"/>
    <d v="2025-03-16T00:00:00"/>
    <x v="2"/>
    <x v="2"/>
    <s v="Laptop"/>
    <n v="662.58"/>
    <n v="-138.4"/>
    <x v="2"/>
    <n v="-0.20888043707929607"/>
  </r>
  <r>
    <s v="ORD-1806"/>
    <d v="2025-03-17T00:00:00"/>
    <x v="3"/>
    <x v="2"/>
    <s v="Laptop"/>
    <n v="645.39"/>
    <n v="-61.41"/>
    <x v="2"/>
    <n v="-9.5151768697996561E-2"/>
  </r>
  <r>
    <s v="ORD-1810"/>
    <d v="2025-03-21T00:00:00"/>
    <x v="3"/>
    <x v="0"/>
    <s v="Chair"/>
    <n v="625.21"/>
    <n v="171.92"/>
    <x v="2"/>
    <n v="0.27497960685209766"/>
  </r>
  <r>
    <s v="ORD-1824"/>
    <d v="2025-04-04T00:00:00"/>
    <x v="0"/>
    <x v="2"/>
    <s v="Table"/>
    <n v="104.56"/>
    <n v="218.26"/>
    <x v="3"/>
    <n v="2.0874139250191277"/>
  </r>
  <r>
    <s v="ORD-1830"/>
    <d v="2025-04-10T00:00:00"/>
    <x v="2"/>
    <x v="0"/>
    <s v="Laptop"/>
    <n v="299.51"/>
    <n v="-106.18"/>
    <x v="3"/>
    <n v="-0.35451237020466764"/>
  </r>
  <r>
    <s v="ORD-1835"/>
    <d v="2025-04-15T00:00:00"/>
    <x v="2"/>
    <x v="2"/>
    <s v="Table"/>
    <n v="910.84"/>
    <n v="-95.16"/>
    <x v="3"/>
    <n v="-0.10447499011901101"/>
  </r>
  <r>
    <s v="ORD-1857"/>
    <d v="2025-05-07T00:00:00"/>
    <x v="3"/>
    <x v="2"/>
    <s v="Laptop"/>
    <n v="792.65"/>
    <n v="-106.61"/>
    <x v="4"/>
    <n v="-0.13449820223301584"/>
  </r>
  <r>
    <s v="ORD-1858"/>
    <d v="2025-05-08T00:00:00"/>
    <x v="3"/>
    <x v="0"/>
    <s v="Chair"/>
    <n v="260.26"/>
    <n v="217.38"/>
    <x v="4"/>
    <n v="0.83524168139552757"/>
  </r>
  <r>
    <s v="ORD-1874"/>
    <d v="2025-05-24T00:00:00"/>
    <x v="0"/>
    <x v="2"/>
    <s v="Phone"/>
    <n v="289.23"/>
    <n v="-5.37"/>
    <x v="4"/>
    <n v="-1.8566538740794523E-2"/>
  </r>
  <r>
    <s v="ORD-1890"/>
    <d v="2025-06-09T00:00:00"/>
    <x v="2"/>
    <x v="1"/>
    <s v="Chair"/>
    <n v="799.5"/>
    <n v="-106.29"/>
    <x v="5"/>
    <n v="-0.13294559099437148"/>
  </r>
  <r>
    <s v="ORD-1892"/>
    <d v="2025-06-11T00:00:00"/>
    <x v="2"/>
    <x v="2"/>
    <s v="Table"/>
    <n v="144.54"/>
    <n v="261.35000000000002"/>
    <x v="5"/>
    <n v="1.8081499930815002"/>
  </r>
  <r>
    <s v="ORD-1915"/>
    <d v="2025-07-04T00:00:00"/>
    <x v="1"/>
    <x v="1"/>
    <s v="Chair"/>
    <n v="115.18"/>
    <n v="6.86"/>
    <x v="6"/>
    <n v="5.9558951206806737E-2"/>
  </r>
  <r>
    <s v="ORD-1939"/>
    <d v="2025-07-28T00:00:00"/>
    <x v="2"/>
    <x v="0"/>
    <s v="Printer"/>
    <n v="373.74"/>
    <n v="102.48"/>
    <x v="6"/>
    <n v="0.27420131642318191"/>
  </r>
  <r>
    <s v="ORD-1944"/>
    <d v="2025-08-02T00:00:00"/>
    <x v="1"/>
    <x v="2"/>
    <s v="Phone"/>
    <n v="825.4"/>
    <n v="-130.56"/>
    <x v="7"/>
    <n v="-0.15817785316210323"/>
  </r>
  <r>
    <s v="ORD-1967"/>
    <d v="2025-08-25T00:00:00"/>
    <x v="2"/>
    <x v="0"/>
    <s v="Phone"/>
    <n v="309.17"/>
    <n v="-93.7"/>
    <x v="7"/>
    <n v="-0.30306950868454247"/>
  </r>
  <r>
    <s v="ORD-1981"/>
    <d v="2025-09-08T00:00:00"/>
    <x v="0"/>
    <x v="2"/>
    <s v="Table"/>
    <n v="936.25"/>
    <n v="275.27"/>
    <x v="8"/>
    <n v="0.29401335113484645"/>
  </r>
  <r>
    <s v="ORD-1985"/>
    <d v="2025-09-12T00:00:00"/>
    <x v="2"/>
    <x v="2"/>
    <s v="Chair"/>
    <n v="477.88"/>
    <n v="-154.11000000000001"/>
    <x v="8"/>
    <n v="-0.32248681677408558"/>
  </r>
  <r>
    <s v="ORD-1986"/>
    <d v="2025-09-13T00:00:00"/>
    <x v="3"/>
    <x v="1"/>
    <s v="Table"/>
    <n v="460.37"/>
    <n v="66.739999999999995"/>
    <x v="8"/>
    <n v="0.14497034993592109"/>
  </r>
  <r>
    <s v="ORD-1999"/>
    <d v="2025-09-26T00:00:00"/>
    <x v="2"/>
    <x v="1"/>
    <s v="Phone"/>
    <n v="973.96"/>
    <n v="-77.459999999999994"/>
    <x v="8"/>
    <n v="-7.953098689884594E-2"/>
  </r>
  <r>
    <s v="ORD-2004"/>
    <d v="2025-10-01T00:00:00"/>
    <x v="2"/>
    <x v="2"/>
    <s v="Table"/>
    <n v="253.17"/>
    <n v="-44.96"/>
    <x v="11"/>
    <n v="-0.17758818185409014"/>
  </r>
  <r>
    <s v="ORD-2012"/>
    <d v="2025-10-09T00:00:00"/>
    <x v="2"/>
    <x v="2"/>
    <s v="Table"/>
    <n v="966.35"/>
    <n v="-160.36000000000001"/>
    <x v="11"/>
    <n v="-0.16594401614321935"/>
  </r>
  <r>
    <s v="ORD-2027"/>
    <d v="2025-10-24T00:00:00"/>
    <x v="3"/>
    <x v="1"/>
    <s v="Phone"/>
    <n v="582.53"/>
    <n v="-9.7200000000000006"/>
    <x v="11"/>
    <n v="-1.668583592261343E-2"/>
  </r>
  <r>
    <s v="ORD-2037"/>
    <d v="2025-11-03T00:00:00"/>
    <x v="1"/>
    <x v="2"/>
    <s v="Phone"/>
    <n v="301.69"/>
    <n v="252.78"/>
    <x v="9"/>
    <n v="0.83787994298783519"/>
  </r>
  <r>
    <s v="ORD-2043"/>
    <d v="2025-11-09T00:00:00"/>
    <x v="0"/>
    <x v="2"/>
    <s v="Phone"/>
    <n v="401.99"/>
    <n v="-101.62"/>
    <x v="9"/>
    <n v="-0.25279235801885619"/>
  </r>
  <r>
    <s v="ORD-2054"/>
    <d v="2025-11-20T00:00:00"/>
    <x v="1"/>
    <x v="0"/>
    <s v="Chair"/>
    <n v="85.18"/>
    <n v="21.88"/>
    <x v="9"/>
    <n v="0.2568678093449166"/>
  </r>
  <r>
    <s v="ORD-2063"/>
    <d v="2025-11-29T00:00:00"/>
    <x v="3"/>
    <x v="1"/>
    <s v="Printer"/>
    <n v="907.21"/>
    <n v="63.41"/>
    <x v="9"/>
    <n v="6.9895614025418579E-2"/>
  </r>
  <r>
    <s v="ORD-2074"/>
    <d v="2025-12-10T00:00:00"/>
    <x v="3"/>
    <x v="2"/>
    <s v="Chair"/>
    <n v="952.2"/>
    <n v="229.8"/>
    <x v="10"/>
    <n v="0.24133585381222433"/>
  </r>
  <r>
    <s v="ORD-2077"/>
    <d v="2025-12-13T00:00:00"/>
    <x v="2"/>
    <x v="1"/>
    <s v="Phone"/>
    <n v="425.88"/>
    <n v="69.52"/>
    <x v="10"/>
    <n v="0.16323847093077862"/>
  </r>
  <r>
    <s v="ORD-2090"/>
    <d v="2025-12-26T00:00:00"/>
    <x v="3"/>
    <x v="2"/>
    <s v="Laptop"/>
    <n v="414.93"/>
    <n v="110.23"/>
    <x v="10"/>
    <n v="0.2656592678283084"/>
  </r>
  <r>
    <s v="ORD-2091"/>
    <d v="2025-12-27T00:00:00"/>
    <x v="3"/>
    <x v="1"/>
    <s v="Printer"/>
    <n v="951.92"/>
    <n v="283.83999999999997"/>
    <x v="10"/>
    <n v="0.29817631733759137"/>
  </r>
  <r>
    <s v="ORD-2104"/>
    <d v="2026-01-09T00:00:00"/>
    <x v="0"/>
    <x v="0"/>
    <s v="Laptop"/>
    <n v="925.87"/>
    <n v="246.29"/>
    <x v="0"/>
    <n v="0.26600926695972438"/>
  </r>
  <r>
    <s v="ORD-2109"/>
    <d v="2026-01-14T00:00:00"/>
    <x v="0"/>
    <x v="2"/>
    <s v="Printer"/>
    <n v="909.17"/>
    <n v="93.86"/>
    <x v="0"/>
    <n v="0.103237018379401"/>
  </r>
  <r>
    <s v="ORD-2126"/>
    <d v="2026-01-31T00:00:00"/>
    <x v="1"/>
    <x v="1"/>
    <s v="Laptop"/>
    <n v="873.4"/>
    <n v="-26.09"/>
    <x v="0"/>
    <n v="-2.9871765514082896E-2"/>
  </r>
  <r>
    <s v="ORD-2129"/>
    <d v="2026-02-03T00:00:00"/>
    <x v="2"/>
    <x v="2"/>
    <s v="Chair"/>
    <n v="468.39"/>
    <n v="12.99"/>
    <x v="1"/>
    <n v="2.7733299173765453E-2"/>
  </r>
  <r>
    <s v="ORD-2132"/>
    <d v="2026-02-06T00:00:00"/>
    <x v="2"/>
    <x v="2"/>
    <s v="Chair"/>
    <n v="473.15"/>
    <n v="185.81"/>
    <x v="1"/>
    <n v="0.39270844341118039"/>
  </r>
  <r>
    <s v="ORD-2134"/>
    <d v="2026-02-08T00:00:00"/>
    <x v="0"/>
    <x v="2"/>
    <s v="Printer"/>
    <n v="838.98"/>
    <n v="-129.41"/>
    <x v="1"/>
    <n v="-0.1542468235238027"/>
  </r>
  <r>
    <s v="ORD-2139"/>
    <d v="2026-02-13T00:00:00"/>
    <x v="2"/>
    <x v="1"/>
    <s v="Chair"/>
    <n v="474.64"/>
    <n v="233.36"/>
    <x v="1"/>
    <n v="0.49165683465363225"/>
  </r>
  <r>
    <s v="ORD-2171"/>
    <d v="2026-03-17T00:00:00"/>
    <x v="2"/>
    <x v="0"/>
    <s v="Table"/>
    <n v="309.62"/>
    <n v="290.92"/>
    <x v="2"/>
    <n v="0.93960338479426397"/>
  </r>
  <r>
    <s v="ORD-2174"/>
    <d v="2026-03-20T00:00:00"/>
    <x v="1"/>
    <x v="0"/>
    <s v="Printer"/>
    <n v="627.66"/>
    <n v="117.2"/>
    <x v="2"/>
    <n v="0.18672529713539179"/>
  </r>
  <r>
    <s v="ORD-2183"/>
    <d v="2026-03-29T00:00:00"/>
    <x v="2"/>
    <x v="1"/>
    <s v="Table"/>
    <n v="186.73"/>
    <n v="284.42"/>
    <x v="2"/>
    <n v="1.5231617843945806"/>
  </r>
  <r>
    <s v="ORD-2184"/>
    <d v="2026-03-30T00:00:00"/>
    <x v="1"/>
    <x v="0"/>
    <s v="Phone"/>
    <n v="386"/>
    <n v="-194.52"/>
    <x v="2"/>
    <n v="-0.503937823834196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84D2E1-99D1-6343-8916-524166073A5E}" name="PivotTable1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
  <location ref="B42:E46" firstHeaderRow="0" firstDataRow="1" firstDataCol="1"/>
  <pivotFields count="9">
    <pivotField showAll="0"/>
    <pivotField numFmtId="14" showAll="0"/>
    <pivotField showAll="0">
      <items count="5">
        <item x="0"/>
        <item x="1"/>
        <item x="2"/>
        <item x="3"/>
        <item t="default"/>
      </items>
    </pivotField>
    <pivotField axis="axisRow" showAll="0">
      <items count="4">
        <item x="1"/>
        <item x="0"/>
        <item x="2"/>
        <item t="default"/>
      </items>
    </pivotField>
    <pivotField showAll="0"/>
    <pivotField dataField="1" showAll="0"/>
    <pivotField dataField="1" showAll="0"/>
    <pivotField showAll="0"/>
    <pivotField dataField="1" showAll="0"/>
  </pivotFields>
  <rowFields count="1">
    <field x="3"/>
  </rowFields>
  <rowItems count="4">
    <i>
      <x/>
    </i>
    <i>
      <x v="1"/>
    </i>
    <i>
      <x v="2"/>
    </i>
    <i t="grand">
      <x/>
    </i>
  </rowItems>
  <colFields count="1">
    <field x="-2"/>
  </colFields>
  <colItems count="3">
    <i>
      <x/>
    </i>
    <i i="1">
      <x v="1"/>
    </i>
    <i i="2">
      <x v="2"/>
    </i>
  </colItems>
  <dataFields count="3">
    <dataField name="Sum of Sales" fld="5" baseField="0" baseItem="0"/>
    <dataField name="Sum of Profit" fld="6" baseField="0" baseItem="0"/>
    <dataField name="Sum of Profit Margin% " fld="8" baseField="0" baseItem="0"/>
  </dataFields>
  <chartFormats count="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BAB73E-A125-D749-A2C2-6F1A35F559B7}"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2:C37" firstHeaderRow="1" firstDataRow="1" firstDataCol="1"/>
  <pivotFields count="9">
    <pivotField showAll="0"/>
    <pivotField numFmtId="14" showAll="0"/>
    <pivotField axis="axisRow" showAll="0">
      <items count="5">
        <item x="0"/>
        <item x="1"/>
        <item x="2"/>
        <item x="3"/>
        <item t="default"/>
      </items>
    </pivotField>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Sum of Profit" fld="6"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C6F36E-D891-554A-99C9-BAF2A6EF7CF0}"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3:D27" firstHeaderRow="0" firstDataRow="1" firstDataCol="1"/>
  <pivotFields count="9">
    <pivotField showAll="0"/>
    <pivotField numFmtId="14" showAll="0"/>
    <pivotField showAll="0">
      <items count="5">
        <item x="0"/>
        <item x="1"/>
        <item x="2"/>
        <item x="3"/>
        <item t="default"/>
      </items>
    </pivotField>
    <pivotField axis="axisRow" showAll="0">
      <items count="4">
        <item x="1"/>
        <item x="0"/>
        <item x="2"/>
        <item t="default"/>
      </items>
    </pivotField>
    <pivotField showAll="0"/>
    <pivotField dataField="1" showAll="0"/>
    <pivotField dataField="1" showAll="0"/>
    <pivotField showAll="0"/>
    <pivotField showAll="0"/>
  </pivotFields>
  <rowFields count="1">
    <field x="3"/>
  </rowFields>
  <rowItems count="4">
    <i>
      <x/>
    </i>
    <i>
      <x v="1"/>
    </i>
    <i>
      <x v="2"/>
    </i>
    <i t="grand">
      <x/>
    </i>
  </rowItems>
  <colFields count="1">
    <field x="-2"/>
  </colFields>
  <colItems count="2">
    <i>
      <x/>
    </i>
    <i i="1">
      <x v="1"/>
    </i>
  </colItems>
  <dataFields count="2">
    <dataField name="Sum of Sales" fld="5" baseField="0" baseItem="0"/>
    <dataField name="Sum of Profit" fld="6"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3C863F-B49C-1047-8568-C74A2FFA2EC6}"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6:C19" firstHeaderRow="1" firstDataRow="1" firstDataCol="1"/>
  <pivotFields count="9">
    <pivotField showAll="0"/>
    <pivotField numFmtId="14" showAll="0"/>
    <pivotField showAll="0">
      <items count="5">
        <item x="0"/>
        <item x="1"/>
        <item x="2"/>
        <item x="3"/>
        <item t="default"/>
      </items>
    </pivotField>
    <pivotField showAll="0">
      <items count="4">
        <item x="1"/>
        <item x="0"/>
        <item x="2"/>
        <item t="default"/>
      </items>
    </pivotField>
    <pivotField showAll="0"/>
    <pivotField dataField="1" showAll="0"/>
    <pivotField showAll="0"/>
    <pivotField axis="axisRow" showAll="0">
      <items count="13">
        <item x="0"/>
        <item x="1"/>
        <item x="2"/>
        <item x="3"/>
        <item x="4"/>
        <item x="5"/>
        <item x="6"/>
        <item x="7"/>
        <item x="8"/>
        <item x="11"/>
        <item x="9"/>
        <item x="10"/>
        <item t="default"/>
      </items>
    </pivotField>
    <pivotField showAll="0"/>
  </pivotFields>
  <rowFields count="1">
    <field x="7"/>
  </rowFields>
  <rowItems count="13">
    <i>
      <x/>
    </i>
    <i>
      <x v="1"/>
    </i>
    <i>
      <x v="2"/>
    </i>
    <i>
      <x v="3"/>
    </i>
    <i>
      <x v="4"/>
    </i>
    <i>
      <x v="5"/>
    </i>
    <i>
      <x v="6"/>
    </i>
    <i>
      <x v="7"/>
    </i>
    <i>
      <x v="8"/>
    </i>
    <i>
      <x v="9"/>
    </i>
    <i>
      <x v="10"/>
    </i>
    <i>
      <x v="11"/>
    </i>
    <i t="grand">
      <x/>
    </i>
  </rowItems>
  <colItems count="1">
    <i/>
  </colItems>
  <dataFields count="1">
    <dataField name="Sum of Sales" fld="5"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E5C553-34AB-2745-A946-AB59067047C0}" sourceName="Region">
  <pivotTables>
    <pivotTable tabId="8" name="PivotTable5"/>
    <pivotTable tabId="8" name="PivotTable10"/>
    <pivotTable tabId="8" name="PivotTable11"/>
    <pivotTable tabId="8" name="PivotTable9"/>
  </pivotTables>
  <data>
    <tabular pivotCacheId="21068812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C86FFDF-2C2A-1C4C-845F-9484F0C081FF}" sourceName="Category">
  <pivotTables>
    <pivotTable tabId="8" name="PivotTable5"/>
  </pivotTables>
  <data>
    <tabular pivotCacheId="21068812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31A4B14-0814-8A49-8323-AD3481BC2361}" sourceName="Month">
  <pivotTables>
    <pivotTable tabId="8" name="PivotTable5"/>
  </pivotTables>
  <data>
    <tabular pivotCacheId="210688123">
      <items count="12">
        <i x="0" s="1"/>
        <i x="1" s="1"/>
        <i x="2" s="1"/>
        <i x="3" s="1"/>
        <i x="4" s="1"/>
        <i x="5" s="1"/>
        <i x="6" s="1"/>
        <i x="7" s="1"/>
        <i x="8" s="1"/>
        <i x="11"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3D55F16-4699-0146-A14C-72E26AB25F19}" cache="Slicer_Region" caption="Region" rowHeight="251883"/>
  <slicer name="Category" xr10:uid="{4C18BD78-4120-2840-8DAC-06CB960AED80}" cache="Slicer_Category" caption="Category" rowHeight="251883"/>
  <slicer name="Month" xr10:uid="{8C5A7FBB-75E3-4840-AD60-FEEDA80BC686}" cache="Slicer_Month" caption="Month" rowHeight="251883"/>
  <slicer name="Month 1" xr10:uid="{5942BF4D-8DCD-EA47-B52F-FEF55F88D5F4}" cache="Slicer_Month" caption="Month"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121C8D-308A-724B-8F31-CE05357407FE}" name="Table4" displayName="Table4" ref="A1:G1251" totalsRowShown="0" headerRowDxfId="0" dataDxfId="1">
  <autoFilter ref="A1:G1251" xr:uid="{4D121C8D-308A-724B-8F31-CE05357407FE}"/>
  <tableColumns count="7">
    <tableColumn id="1" xr3:uid="{BEE2CC12-A73B-5746-8003-A0835EA9D400}" name="Order ID" dataDxfId="8"/>
    <tableColumn id="2" xr3:uid="{E01722BE-FF4B-2B4E-94E1-CB1EDAB95605}" name="Order Date" dataDxfId="7"/>
    <tableColumn id="3" xr3:uid="{02E889CC-30A8-7F40-9615-A456DF99B84A}" name="Region" dataDxfId="6"/>
    <tableColumn id="4" xr3:uid="{FB1144BD-26BF-444F-A6CB-31AAEA2836B5}" name="Category" dataDxfId="5"/>
    <tableColumn id="5" xr3:uid="{1577D9FE-A162-5B40-BCE9-7382656B7CCE}" name="Product Name" dataDxfId="4"/>
    <tableColumn id="6" xr3:uid="{718A7F99-8CFE-A442-8AA8-AF986C244D96}" name="Sales" dataDxfId="3"/>
    <tableColumn id="7" xr3:uid="{428BC6E2-B269-6F42-AB0B-AE67A29A839A}" name="Profit"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E5724F-6CF7-0148-89BC-A3F30968B957}" name="SalesData" displayName="SalesData" ref="A1:I126" totalsRowShown="0" headerRowDxfId="9" dataDxfId="10">
  <autoFilter ref="A1:I126" xr:uid="{72E5724F-6CF7-0148-89BC-A3F30968B957}"/>
  <tableColumns count="9">
    <tableColumn id="1" xr3:uid="{D68E0CFE-66B1-444C-B3C2-31F2B593FDD1}" name="Order ID" dataDxfId="19"/>
    <tableColumn id="2" xr3:uid="{2389D5CC-1F3E-904D-9DD9-FFEE6C5A2DE4}" name="Order Date" dataDxfId="18"/>
    <tableColumn id="3" xr3:uid="{8C4A0F3C-04FD-E345-A152-69E59BD9FA1C}" name="Region" dataDxfId="17"/>
    <tableColumn id="4" xr3:uid="{53116F46-782C-7340-A016-00FF8B617B83}" name="Category" dataDxfId="16"/>
    <tableColumn id="5" xr3:uid="{80E2F0FB-D4D3-2F45-91B6-D8504DFBF47B}" name="Product Name" dataDxfId="15"/>
    <tableColumn id="6" xr3:uid="{9729B4C9-F120-A64E-9965-0A05F9FD956C}" name="Sales" dataDxfId="14"/>
    <tableColumn id="7" xr3:uid="{B0B148E1-3F29-2A42-82F9-9FCCEDBA89D5}" name="Profit" dataDxfId="13"/>
    <tableColumn id="8" xr3:uid="{C650CCD5-9ED2-9E4C-BBF2-EFA14ABF07F2}" name="Month" dataDxfId="12">
      <calculatedColumnFormula>TEXT(B2,"mmm")</calculatedColumnFormula>
    </tableColumn>
    <tableColumn id="9" xr3:uid="{E1C3FE2A-7B0B-1443-B709-CBDD95A56FAD}" name="Profit Margin% " dataDxfId="11">
      <calculatedColumnFormula>IF(F2=0,0,G2/F2)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9FDBC-6EB8-9845-94C5-91D68BD9F903}">
  <dimension ref="A1:G1251"/>
  <sheetViews>
    <sheetView workbookViewId="0">
      <selection activeCell="I5" sqref="I5"/>
    </sheetView>
  </sheetViews>
  <sheetFormatPr baseColWidth="10" defaultRowHeight="16"/>
  <cols>
    <col min="1" max="1" width="13.1640625" bestFit="1" customWidth="1"/>
    <col min="2" max="2" width="15.1640625" bestFit="1" customWidth="1"/>
    <col min="3" max="3" width="12.1640625" bestFit="1" customWidth="1"/>
    <col min="4" max="4" width="13.83203125" bestFit="1" customWidth="1"/>
    <col min="5" max="5" width="17.83203125" bestFit="1" customWidth="1"/>
    <col min="6" max="6" width="10.6640625" bestFit="1" customWidth="1"/>
    <col min="7" max="7" width="11.1640625" bestFit="1" customWidth="1"/>
  </cols>
  <sheetData>
    <row r="1" spans="1:7">
      <c r="A1" s="1" t="s">
        <v>0</v>
      </c>
      <c r="B1" s="1" t="s">
        <v>1</v>
      </c>
      <c r="C1" s="1" t="s">
        <v>2</v>
      </c>
      <c r="D1" s="1" t="s">
        <v>3</v>
      </c>
      <c r="E1" s="1" t="s">
        <v>4</v>
      </c>
      <c r="F1" s="1" t="s">
        <v>5</v>
      </c>
      <c r="G1" s="1" t="s">
        <v>6</v>
      </c>
    </row>
    <row r="2" spans="1:7">
      <c r="A2" s="2" t="s">
        <v>7</v>
      </c>
      <c r="B2" s="3">
        <v>44927</v>
      </c>
      <c r="C2" s="2" t="s">
        <v>8</v>
      </c>
      <c r="D2" s="2" t="s">
        <v>9</v>
      </c>
      <c r="E2" s="2"/>
      <c r="F2" s="2"/>
      <c r="G2" s="4"/>
    </row>
    <row r="3" spans="1:7">
      <c r="A3" s="2" t="s">
        <v>10</v>
      </c>
      <c r="B3" s="3">
        <v>44928</v>
      </c>
      <c r="C3" s="2" t="s">
        <v>11</v>
      </c>
      <c r="D3" s="2"/>
      <c r="E3" s="2">
        <v>340.85</v>
      </c>
      <c r="F3" s="2"/>
      <c r="G3" s="4"/>
    </row>
    <row r="4" spans="1:7">
      <c r="A4" s="2" t="s">
        <v>12</v>
      </c>
      <c r="B4" s="3">
        <v>44929</v>
      </c>
      <c r="C4" s="2" t="s">
        <v>13</v>
      </c>
      <c r="D4" s="2" t="s">
        <v>8</v>
      </c>
      <c r="E4" s="2" t="s">
        <v>14</v>
      </c>
      <c r="F4" s="2">
        <v>425.77</v>
      </c>
      <c r="G4" s="2">
        <v>-162.59</v>
      </c>
    </row>
    <row r="5" spans="1:7">
      <c r="A5" s="2" t="s">
        <v>15</v>
      </c>
      <c r="B5" s="3">
        <v>44930</v>
      </c>
      <c r="C5" s="2" t="s">
        <v>16</v>
      </c>
      <c r="D5" s="2" t="s">
        <v>8</v>
      </c>
      <c r="E5" s="2"/>
      <c r="F5" s="2"/>
      <c r="G5" s="4"/>
    </row>
    <row r="6" spans="1:7">
      <c r="A6" s="2" t="s">
        <v>17</v>
      </c>
      <c r="B6" s="3">
        <v>44931</v>
      </c>
      <c r="C6" s="2" t="s">
        <v>16</v>
      </c>
      <c r="D6" s="2" t="s">
        <v>11</v>
      </c>
      <c r="E6" s="2" t="s">
        <v>18</v>
      </c>
      <c r="F6" s="2"/>
      <c r="G6" s="2"/>
    </row>
    <row r="7" spans="1:7">
      <c r="A7" s="2" t="s">
        <v>19</v>
      </c>
      <c r="B7" s="3">
        <v>44932</v>
      </c>
      <c r="C7" s="2" t="s">
        <v>16</v>
      </c>
      <c r="D7" s="2"/>
      <c r="E7" s="2" t="s">
        <v>9</v>
      </c>
      <c r="F7" s="2">
        <v>195.77</v>
      </c>
      <c r="G7" s="2">
        <v>-33.68</v>
      </c>
    </row>
    <row r="8" spans="1:7">
      <c r="A8" s="2" t="s">
        <v>20</v>
      </c>
      <c r="B8" s="3">
        <v>44933</v>
      </c>
      <c r="C8" s="2" t="s">
        <v>21</v>
      </c>
      <c r="D8" s="2" t="s">
        <v>22</v>
      </c>
      <c r="E8" s="2" t="s">
        <v>9</v>
      </c>
      <c r="F8" s="2">
        <v>517.99</v>
      </c>
      <c r="G8" s="2"/>
    </row>
    <row r="9" spans="1:7">
      <c r="A9" s="2" t="s">
        <v>23</v>
      </c>
      <c r="B9" s="3">
        <v>44934</v>
      </c>
      <c r="C9" s="2" t="s">
        <v>8</v>
      </c>
      <c r="D9" s="2" t="s">
        <v>24</v>
      </c>
      <c r="E9" s="2">
        <v>812.47</v>
      </c>
      <c r="F9" s="2">
        <v>143.76</v>
      </c>
      <c r="G9" s="4"/>
    </row>
    <row r="10" spans="1:7">
      <c r="A10" s="2" t="s">
        <v>25</v>
      </c>
      <c r="B10" s="3">
        <v>44935</v>
      </c>
      <c r="C10" s="2" t="s">
        <v>11</v>
      </c>
      <c r="D10" s="2" t="s">
        <v>18</v>
      </c>
      <c r="E10" s="2"/>
      <c r="F10" s="2">
        <v>181.86</v>
      </c>
      <c r="G10" s="4"/>
    </row>
    <row r="11" spans="1:7">
      <c r="A11" s="2" t="s">
        <v>26</v>
      </c>
      <c r="B11" s="3">
        <v>44936</v>
      </c>
      <c r="C11" s="2" t="s">
        <v>27</v>
      </c>
      <c r="D11" s="2" t="s">
        <v>22</v>
      </c>
      <c r="E11" s="2"/>
      <c r="F11" s="2"/>
      <c r="G11" s="2">
        <v>-109.59</v>
      </c>
    </row>
    <row r="12" spans="1:7">
      <c r="A12" s="2" t="s">
        <v>28</v>
      </c>
      <c r="B12" s="3">
        <v>44937</v>
      </c>
      <c r="C12" s="2" t="s">
        <v>11</v>
      </c>
      <c r="D12" s="2" t="s">
        <v>24</v>
      </c>
      <c r="E12" s="2"/>
      <c r="F12" s="2">
        <v>-99.45</v>
      </c>
      <c r="G12" s="4"/>
    </row>
    <row r="13" spans="1:7">
      <c r="A13" s="2" t="s">
        <v>29</v>
      </c>
      <c r="B13" s="3">
        <v>44938</v>
      </c>
      <c r="C13" s="2" t="s">
        <v>16</v>
      </c>
      <c r="D13" s="2" t="s">
        <v>11</v>
      </c>
      <c r="E13" s="2"/>
      <c r="F13" s="2"/>
      <c r="G13" s="2">
        <v>-33.58</v>
      </c>
    </row>
    <row r="14" spans="1:7">
      <c r="A14" s="2" t="s">
        <v>30</v>
      </c>
      <c r="B14" s="3">
        <v>44939</v>
      </c>
      <c r="C14" s="2" t="s">
        <v>21</v>
      </c>
      <c r="D14" s="2" t="s">
        <v>22</v>
      </c>
      <c r="E14" s="2" t="s">
        <v>9</v>
      </c>
      <c r="F14" s="2"/>
      <c r="G14" s="2">
        <v>198</v>
      </c>
    </row>
    <row r="15" spans="1:7">
      <c r="A15" s="2" t="s">
        <v>31</v>
      </c>
      <c r="B15" s="3">
        <v>44940</v>
      </c>
      <c r="C15" s="2"/>
      <c r="D15" s="2" t="s">
        <v>32</v>
      </c>
      <c r="E15" s="2">
        <v>616.91999999999996</v>
      </c>
      <c r="F15" s="2"/>
      <c r="G15" s="4"/>
    </row>
    <row r="16" spans="1:7">
      <c r="A16" s="2" t="s">
        <v>33</v>
      </c>
      <c r="B16" s="3">
        <v>44941</v>
      </c>
      <c r="C16" s="2" t="s">
        <v>13</v>
      </c>
      <c r="D16" s="2" t="s">
        <v>11</v>
      </c>
      <c r="E16" s="2" t="s">
        <v>9</v>
      </c>
      <c r="F16" s="2"/>
      <c r="G16" s="2"/>
    </row>
    <row r="17" spans="1:7">
      <c r="A17" s="2" t="s">
        <v>34</v>
      </c>
      <c r="B17" s="3">
        <v>44942</v>
      </c>
      <c r="C17" s="2" t="s">
        <v>27</v>
      </c>
      <c r="D17" s="2"/>
      <c r="E17" s="2" t="s">
        <v>32</v>
      </c>
      <c r="F17" s="2"/>
      <c r="G17" s="2"/>
    </row>
    <row r="18" spans="1:7">
      <c r="A18" s="2" t="s">
        <v>35</v>
      </c>
      <c r="B18" s="3">
        <v>44943</v>
      </c>
      <c r="C18" s="2" t="s">
        <v>21</v>
      </c>
      <c r="D18" s="2"/>
      <c r="E18" s="2" t="s">
        <v>32</v>
      </c>
      <c r="F18" s="2">
        <v>987.5</v>
      </c>
      <c r="G18" s="2"/>
    </row>
    <row r="19" spans="1:7">
      <c r="A19" s="2" t="s">
        <v>36</v>
      </c>
      <c r="B19" s="3">
        <v>44944</v>
      </c>
      <c r="C19" s="2" t="s">
        <v>16</v>
      </c>
      <c r="D19" s="2" t="s">
        <v>22</v>
      </c>
      <c r="E19" s="2" t="s">
        <v>9</v>
      </c>
      <c r="F19" s="2">
        <v>314.67</v>
      </c>
      <c r="G19" s="2"/>
    </row>
    <row r="20" spans="1:7">
      <c r="A20" s="2" t="s">
        <v>37</v>
      </c>
      <c r="B20" s="3">
        <v>44945</v>
      </c>
      <c r="C20" s="2" t="s">
        <v>16</v>
      </c>
      <c r="D20" s="2" t="s">
        <v>22</v>
      </c>
      <c r="E20" s="2"/>
      <c r="F20" s="2">
        <v>543.04</v>
      </c>
      <c r="G20" s="2"/>
    </row>
    <row r="21" spans="1:7">
      <c r="A21" s="2" t="s">
        <v>38</v>
      </c>
      <c r="B21" s="3">
        <v>44946</v>
      </c>
      <c r="C21" s="2" t="s">
        <v>13</v>
      </c>
      <c r="D21" s="2" t="s">
        <v>22</v>
      </c>
      <c r="E21" s="2" t="s">
        <v>14</v>
      </c>
      <c r="F21" s="2">
        <v>989.83</v>
      </c>
      <c r="G21" s="2"/>
    </row>
    <row r="22" spans="1:7">
      <c r="A22" s="2" t="s">
        <v>39</v>
      </c>
      <c r="B22" s="3">
        <v>44947</v>
      </c>
      <c r="C22" s="2" t="s">
        <v>8</v>
      </c>
      <c r="D22" s="2" t="s">
        <v>32</v>
      </c>
      <c r="E22" s="2"/>
      <c r="F22" s="2">
        <v>243.75</v>
      </c>
      <c r="G22" s="4"/>
    </row>
    <row r="23" spans="1:7">
      <c r="A23" s="2" t="s">
        <v>40</v>
      </c>
      <c r="B23" s="3">
        <v>44948</v>
      </c>
      <c r="C23" s="2" t="s">
        <v>13</v>
      </c>
      <c r="D23" s="2" t="s">
        <v>22</v>
      </c>
      <c r="E23" s="2" t="s">
        <v>9</v>
      </c>
      <c r="F23" s="2"/>
      <c r="G23" s="2"/>
    </row>
    <row r="24" spans="1:7">
      <c r="A24" s="2" t="s">
        <v>41</v>
      </c>
      <c r="B24" s="3">
        <v>44949</v>
      </c>
      <c r="C24" s="2" t="s">
        <v>27</v>
      </c>
      <c r="D24" s="2" t="s">
        <v>11</v>
      </c>
      <c r="E24" s="2" t="s">
        <v>24</v>
      </c>
      <c r="F24" s="2">
        <v>668.55</v>
      </c>
      <c r="G24" s="2"/>
    </row>
    <row r="25" spans="1:7">
      <c r="A25" s="2" t="s">
        <v>42</v>
      </c>
      <c r="B25" s="3">
        <v>44950</v>
      </c>
      <c r="C25" s="2" t="s">
        <v>22</v>
      </c>
      <c r="D25" s="2" t="s">
        <v>9</v>
      </c>
      <c r="E25" s="2"/>
      <c r="F25" s="2"/>
      <c r="G25" s="4"/>
    </row>
    <row r="26" spans="1:7">
      <c r="A26" s="2" t="s">
        <v>43</v>
      </c>
      <c r="B26" s="3">
        <v>44951</v>
      </c>
      <c r="C26" s="2" t="s">
        <v>27</v>
      </c>
      <c r="D26" s="2" t="s">
        <v>11</v>
      </c>
      <c r="E26" s="2" t="s">
        <v>9</v>
      </c>
      <c r="F26" s="2"/>
      <c r="G26" s="2">
        <v>-54.52</v>
      </c>
    </row>
    <row r="27" spans="1:7">
      <c r="A27" s="2" t="s">
        <v>44</v>
      </c>
      <c r="B27" s="3">
        <v>44952</v>
      </c>
      <c r="C27" s="2" t="s">
        <v>27</v>
      </c>
      <c r="D27" s="2"/>
      <c r="E27" s="2" t="s">
        <v>32</v>
      </c>
      <c r="F27" s="2"/>
      <c r="G27" s="2"/>
    </row>
    <row r="28" spans="1:7">
      <c r="A28" s="2" t="s">
        <v>45</v>
      </c>
      <c r="B28" s="3">
        <v>44953</v>
      </c>
      <c r="C28" s="2" t="s">
        <v>13</v>
      </c>
      <c r="D28" s="2" t="s">
        <v>22</v>
      </c>
      <c r="E28" s="2" t="s">
        <v>18</v>
      </c>
      <c r="F28" s="2">
        <v>574.84</v>
      </c>
      <c r="G28" s="2">
        <v>-108.72</v>
      </c>
    </row>
    <row r="29" spans="1:7">
      <c r="A29" s="2" t="s">
        <v>46</v>
      </c>
      <c r="B29" s="3">
        <v>44954</v>
      </c>
      <c r="C29" s="2" t="s">
        <v>27</v>
      </c>
      <c r="D29" s="2" t="s">
        <v>11</v>
      </c>
      <c r="E29" s="2" t="s">
        <v>32</v>
      </c>
      <c r="F29" s="2">
        <v>756.64</v>
      </c>
      <c r="G29" s="2"/>
    </row>
    <row r="30" spans="1:7">
      <c r="A30" s="2" t="s">
        <v>47</v>
      </c>
      <c r="B30" s="3">
        <v>44955</v>
      </c>
      <c r="C30" s="2" t="s">
        <v>13</v>
      </c>
      <c r="D30" s="2" t="s">
        <v>11</v>
      </c>
      <c r="E30" s="2" t="s">
        <v>14</v>
      </c>
      <c r="F30" s="2"/>
      <c r="G30" s="2">
        <v>-143.6</v>
      </c>
    </row>
    <row r="31" spans="1:7">
      <c r="A31" s="2" t="s">
        <v>48</v>
      </c>
      <c r="B31" s="3">
        <v>44956</v>
      </c>
      <c r="C31" s="2" t="s">
        <v>16</v>
      </c>
      <c r="D31" s="2" t="s">
        <v>22</v>
      </c>
      <c r="E31" s="2" t="s">
        <v>18</v>
      </c>
      <c r="F31" s="2"/>
      <c r="G31" s="2">
        <v>44.97</v>
      </c>
    </row>
    <row r="32" spans="1:7">
      <c r="A32" s="2" t="s">
        <v>49</v>
      </c>
      <c r="B32" s="3">
        <v>44957</v>
      </c>
      <c r="C32" s="2" t="s">
        <v>8</v>
      </c>
      <c r="D32" s="2" t="s">
        <v>24</v>
      </c>
      <c r="E32" s="2">
        <v>969.08</v>
      </c>
      <c r="F32" s="2">
        <v>209.42</v>
      </c>
      <c r="G32" s="4"/>
    </row>
    <row r="33" spans="1:7">
      <c r="A33" s="2" t="s">
        <v>50</v>
      </c>
      <c r="B33" s="3">
        <v>44958</v>
      </c>
      <c r="C33" s="2" t="s">
        <v>16</v>
      </c>
      <c r="D33" s="2"/>
      <c r="E33" s="2" t="s">
        <v>32</v>
      </c>
      <c r="F33" s="2"/>
      <c r="G33" s="2"/>
    </row>
    <row r="34" spans="1:7">
      <c r="A34" s="2" t="s">
        <v>51</v>
      </c>
      <c r="B34" s="3">
        <v>44959</v>
      </c>
      <c r="C34" s="2" t="s">
        <v>16</v>
      </c>
      <c r="D34" s="2"/>
      <c r="E34" s="2" t="s">
        <v>14</v>
      </c>
      <c r="F34" s="2"/>
      <c r="G34" s="2"/>
    </row>
    <row r="35" spans="1:7">
      <c r="A35" s="2" t="s">
        <v>52</v>
      </c>
      <c r="B35" s="3">
        <v>44960</v>
      </c>
      <c r="C35" s="2" t="s">
        <v>22</v>
      </c>
      <c r="D35" s="2" t="s">
        <v>14</v>
      </c>
      <c r="E35" s="2">
        <v>689.92</v>
      </c>
      <c r="F35" s="2">
        <v>-39.869999999999997</v>
      </c>
      <c r="G35" s="4"/>
    </row>
    <row r="36" spans="1:7">
      <c r="A36" s="2" t="s">
        <v>53</v>
      </c>
      <c r="B36" s="3">
        <v>44961</v>
      </c>
      <c r="C36" s="2" t="s">
        <v>11</v>
      </c>
      <c r="D36" s="2" t="s">
        <v>9</v>
      </c>
      <c r="E36" s="2"/>
      <c r="F36" s="2">
        <v>-84.58</v>
      </c>
      <c r="G36" s="4"/>
    </row>
    <row r="37" spans="1:7">
      <c r="A37" s="2" t="s">
        <v>54</v>
      </c>
      <c r="B37" s="3">
        <v>44962</v>
      </c>
      <c r="C37" s="2" t="s">
        <v>16</v>
      </c>
      <c r="D37" s="2"/>
      <c r="E37" s="2" t="s">
        <v>14</v>
      </c>
      <c r="F37" s="2"/>
      <c r="G37" s="2"/>
    </row>
    <row r="38" spans="1:7">
      <c r="A38" s="2" t="s">
        <v>55</v>
      </c>
      <c r="B38" s="3">
        <v>44963</v>
      </c>
      <c r="C38" s="2" t="s">
        <v>16</v>
      </c>
      <c r="D38" s="2" t="s">
        <v>22</v>
      </c>
      <c r="E38" s="2"/>
      <c r="F38" s="2">
        <v>645.70000000000005</v>
      </c>
      <c r="G38" s="2">
        <v>-165.62</v>
      </c>
    </row>
    <row r="39" spans="1:7">
      <c r="A39" s="2" t="s">
        <v>56</v>
      </c>
      <c r="B39" s="3">
        <v>44964</v>
      </c>
      <c r="C39" s="2" t="s">
        <v>11</v>
      </c>
      <c r="D39" s="2" t="s">
        <v>14</v>
      </c>
      <c r="E39" s="2">
        <v>786.16</v>
      </c>
      <c r="F39" s="2"/>
      <c r="G39" s="4"/>
    </row>
    <row r="40" spans="1:7">
      <c r="A40" s="2" t="s">
        <v>57</v>
      </c>
      <c r="B40" s="3">
        <v>44965</v>
      </c>
      <c r="C40" s="2" t="s">
        <v>27</v>
      </c>
      <c r="D40" s="2" t="s">
        <v>11</v>
      </c>
      <c r="E40" s="2" t="s">
        <v>14</v>
      </c>
      <c r="F40" s="2"/>
      <c r="G40" s="2">
        <v>-149.19999999999999</v>
      </c>
    </row>
    <row r="41" spans="1:7">
      <c r="A41" s="2" t="s">
        <v>58</v>
      </c>
      <c r="B41" s="3">
        <v>44966</v>
      </c>
      <c r="C41" s="2" t="s">
        <v>8</v>
      </c>
      <c r="D41" s="2" t="s">
        <v>32</v>
      </c>
      <c r="E41" s="2"/>
      <c r="F41" s="2"/>
      <c r="G41" s="4"/>
    </row>
    <row r="42" spans="1:7">
      <c r="A42" s="2" t="s">
        <v>59</v>
      </c>
      <c r="B42" s="3">
        <v>44967</v>
      </c>
      <c r="C42" s="2" t="s">
        <v>16</v>
      </c>
      <c r="D42" s="2" t="s">
        <v>8</v>
      </c>
      <c r="E42" s="2" t="s">
        <v>9</v>
      </c>
      <c r="F42" s="2">
        <v>167.65</v>
      </c>
      <c r="G42" s="2">
        <v>170.87</v>
      </c>
    </row>
    <row r="43" spans="1:7">
      <c r="A43" s="2" t="s">
        <v>60</v>
      </c>
      <c r="B43" s="3">
        <v>44968</v>
      </c>
      <c r="C43" s="2" t="s">
        <v>16</v>
      </c>
      <c r="D43" s="2" t="s">
        <v>8</v>
      </c>
      <c r="E43" s="2"/>
      <c r="F43" s="2"/>
      <c r="G43" s="4"/>
    </row>
    <row r="44" spans="1:7">
      <c r="A44" s="2" t="s">
        <v>61</v>
      </c>
      <c r="B44" s="3">
        <v>44969</v>
      </c>
      <c r="C44" s="2" t="s">
        <v>27</v>
      </c>
      <c r="D44" s="2" t="s">
        <v>11</v>
      </c>
      <c r="E44" s="2" t="s">
        <v>18</v>
      </c>
      <c r="F44" s="2"/>
      <c r="G44" s="2"/>
    </row>
    <row r="45" spans="1:7">
      <c r="A45" s="2" t="s">
        <v>62</v>
      </c>
      <c r="B45" s="3">
        <v>44970</v>
      </c>
      <c r="C45" s="2" t="s">
        <v>27</v>
      </c>
      <c r="D45" s="2" t="s">
        <v>22</v>
      </c>
      <c r="E45" s="2" t="s">
        <v>32</v>
      </c>
      <c r="F45" s="2">
        <v>926.73</v>
      </c>
      <c r="G45" s="2">
        <v>160.62</v>
      </c>
    </row>
    <row r="46" spans="1:7">
      <c r="A46" s="2" t="s">
        <v>63</v>
      </c>
      <c r="B46" s="3">
        <v>44971</v>
      </c>
      <c r="C46" s="2" t="s">
        <v>21</v>
      </c>
      <c r="D46" s="2" t="s">
        <v>11</v>
      </c>
      <c r="E46" s="2"/>
      <c r="F46" s="2">
        <v>701.09</v>
      </c>
      <c r="G46" s="2"/>
    </row>
    <row r="47" spans="1:7">
      <c r="A47" s="2" t="s">
        <v>64</v>
      </c>
      <c r="B47" s="3">
        <v>44972</v>
      </c>
      <c r="C47" s="2" t="s">
        <v>13</v>
      </c>
      <c r="D47" s="2" t="s">
        <v>8</v>
      </c>
      <c r="E47" s="2" t="s">
        <v>14</v>
      </c>
      <c r="F47" s="2">
        <v>238.01</v>
      </c>
      <c r="G47" s="2"/>
    </row>
    <row r="48" spans="1:7">
      <c r="A48" s="2" t="s">
        <v>65</v>
      </c>
      <c r="B48" s="3">
        <v>44973</v>
      </c>
      <c r="C48" s="2" t="s">
        <v>27</v>
      </c>
      <c r="D48" s="2" t="s">
        <v>8</v>
      </c>
      <c r="E48" s="2" t="s">
        <v>24</v>
      </c>
      <c r="F48" s="2">
        <v>566.48</v>
      </c>
      <c r="G48" s="2"/>
    </row>
    <row r="49" spans="1:7">
      <c r="A49" s="2" t="s">
        <v>66</v>
      </c>
      <c r="B49" s="3">
        <v>44974</v>
      </c>
      <c r="C49" s="2" t="s">
        <v>16</v>
      </c>
      <c r="D49" s="2"/>
      <c r="E49" s="2"/>
      <c r="F49" s="2">
        <v>193.48</v>
      </c>
      <c r="G49" s="2">
        <v>6.28</v>
      </c>
    </row>
    <row r="50" spans="1:7">
      <c r="A50" s="2" t="s">
        <v>67</v>
      </c>
      <c r="B50" s="3">
        <v>44975</v>
      </c>
      <c r="C50" s="2" t="s">
        <v>21</v>
      </c>
      <c r="D50" s="2" t="s">
        <v>22</v>
      </c>
      <c r="E50" s="2" t="s">
        <v>24</v>
      </c>
      <c r="F50" s="2"/>
      <c r="G50" s="2"/>
    </row>
    <row r="51" spans="1:7">
      <c r="A51" s="2" t="s">
        <v>68</v>
      </c>
      <c r="B51" s="3">
        <v>44976</v>
      </c>
      <c r="C51" s="2" t="s">
        <v>16</v>
      </c>
      <c r="D51" s="2" t="s">
        <v>22</v>
      </c>
      <c r="E51" s="2" t="s">
        <v>24</v>
      </c>
      <c r="F51" s="2"/>
      <c r="G51" s="2"/>
    </row>
    <row r="52" spans="1:7">
      <c r="A52" s="2" t="s">
        <v>69</v>
      </c>
      <c r="B52" s="3">
        <v>44977</v>
      </c>
      <c r="C52" s="2" t="s">
        <v>16</v>
      </c>
      <c r="D52" s="2" t="s">
        <v>8</v>
      </c>
      <c r="E52" s="2" t="s">
        <v>9</v>
      </c>
      <c r="F52" s="2"/>
      <c r="G52" s="2"/>
    </row>
    <row r="53" spans="1:7">
      <c r="A53" s="2" t="s">
        <v>70</v>
      </c>
      <c r="B53" s="3">
        <v>44978</v>
      </c>
      <c r="C53" s="2" t="s">
        <v>13</v>
      </c>
      <c r="D53" s="2"/>
      <c r="E53" s="2"/>
      <c r="F53" s="2">
        <v>61.85</v>
      </c>
      <c r="G53" s="2">
        <v>200.72</v>
      </c>
    </row>
    <row r="54" spans="1:7">
      <c r="A54" s="2" t="s">
        <v>71</v>
      </c>
      <c r="B54" s="3">
        <v>44979</v>
      </c>
      <c r="C54" s="2"/>
      <c r="D54" s="2" t="s">
        <v>14</v>
      </c>
      <c r="E54" s="2">
        <v>982.86</v>
      </c>
      <c r="F54" s="2"/>
      <c r="G54" s="4"/>
    </row>
    <row r="55" spans="1:7">
      <c r="A55" s="2" t="s">
        <v>72</v>
      </c>
      <c r="B55" s="3">
        <v>44980</v>
      </c>
      <c r="C55" s="2" t="s">
        <v>11</v>
      </c>
      <c r="D55" s="2" t="s">
        <v>32</v>
      </c>
      <c r="E55" s="2"/>
      <c r="F55" s="2"/>
      <c r="G55" s="4"/>
    </row>
    <row r="56" spans="1:7">
      <c r="A56" s="2" t="s">
        <v>73</v>
      </c>
      <c r="B56" s="3">
        <v>44981</v>
      </c>
      <c r="C56" s="2" t="s">
        <v>13</v>
      </c>
      <c r="D56" s="2" t="s">
        <v>8</v>
      </c>
      <c r="E56" s="2" t="s">
        <v>9</v>
      </c>
      <c r="F56" s="2">
        <v>643.91</v>
      </c>
      <c r="G56" s="2">
        <v>81.95</v>
      </c>
    </row>
    <row r="57" spans="1:7">
      <c r="A57" s="2" t="s">
        <v>74</v>
      </c>
      <c r="B57" s="3">
        <v>44982</v>
      </c>
      <c r="C57" s="2" t="s">
        <v>16</v>
      </c>
      <c r="D57" s="2" t="s">
        <v>8</v>
      </c>
      <c r="E57" s="2" t="s">
        <v>24</v>
      </c>
      <c r="F57" s="2"/>
      <c r="G57" s="2"/>
    </row>
    <row r="58" spans="1:7">
      <c r="A58" s="2" t="s">
        <v>75</v>
      </c>
      <c r="B58" s="3">
        <v>44983</v>
      </c>
      <c r="C58" s="2" t="s">
        <v>11</v>
      </c>
      <c r="D58" s="2" t="s">
        <v>24</v>
      </c>
      <c r="E58" s="2">
        <v>542.67999999999995</v>
      </c>
      <c r="F58" s="2">
        <v>73.099999999999994</v>
      </c>
      <c r="G58" s="4"/>
    </row>
    <row r="59" spans="1:7">
      <c r="A59" s="2" t="s">
        <v>76</v>
      </c>
      <c r="B59" s="3">
        <v>44984</v>
      </c>
      <c r="C59" s="2"/>
      <c r="D59" s="2"/>
      <c r="E59" s="2"/>
      <c r="F59" s="2">
        <v>-57.35</v>
      </c>
      <c r="G59" s="4"/>
    </row>
    <row r="60" spans="1:7">
      <c r="A60" s="2" t="s">
        <v>77</v>
      </c>
      <c r="B60" s="3">
        <v>44985</v>
      </c>
      <c r="C60" s="2" t="s">
        <v>21</v>
      </c>
      <c r="D60" s="2" t="s">
        <v>11</v>
      </c>
      <c r="E60" s="2" t="s">
        <v>18</v>
      </c>
      <c r="F60" s="2"/>
      <c r="G60" s="2">
        <v>-35.28</v>
      </c>
    </row>
    <row r="61" spans="1:7">
      <c r="A61" s="2" t="s">
        <v>78</v>
      </c>
      <c r="B61" s="3">
        <v>44986</v>
      </c>
      <c r="C61" s="2" t="s">
        <v>27</v>
      </c>
      <c r="D61" s="2" t="s">
        <v>11</v>
      </c>
      <c r="E61" s="2" t="s">
        <v>32</v>
      </c>
      <c r="F61" s="2"/>
      <c r="G61" s="2">
        <v>-68.7</v>
      </c>
    </row>
    <row r="62" spans="1:7">
      <c r="A62" s="2" t="s">
        <v>79</v>
      </c>
      <c r="B62" s="3">
        <v>44987</v>
      </c>
      <c r="C62" s="2" t="s">
        <v>27</v>
      </c>
      <c r="D62" s="2" t="s">
        <v>11</v>
      </c>
      <c r="E62" s="2" t="s">
        <v>9</v>
      </c>
      <c r="F62" s="2">
        <v>95.16</v>
      </c>
      <c r="G62" s="2">
        <v>247.08</v>
      </c>
    </row>
    <row r="63" spans="1:7">
      <c r="A63" s="2" t="s">
        <v>80</v>
      </c>
      <c r="B63" s="3">
        <v>44988</v>
      </c>
      <c r="C63" s="2" t="s">
        <v>21</v>
      </c>
      <c r="D63" s="2" t="s">
        <v>11</v>
      </c>
      <c r="E63" s="2" t="s">
        <v>32</v>
      </c>
      <c r="F63" s="2">
        <v>87.92</v>
      </c>
      <c r="G63" s="2"/>
    </row>
    <row r="64" spans="1:7">
      <c r="A64" s="2" t="s">
        <v>81</v>
      </c>
      <c r="B64" s="3">
        <v>44989</v>
      </c>
      <c r="C64" s="2" t="s">
        <v>13</v>
      </c>
      <c r="D64" s="2" t="s">
        <v>8</v>
      </c>
      <c r="E64" s="2" t="s">
        <v>24</v>
      </c>
      <c r="F64" s="2">
        <v>122</v>
      </c>
      <c r="G64" s="2"/>
    </row>
    <row r="65" spans="1:7">
      <c r="A65" s="2" t="s">
        <v>82</v>
      </c>
      <c r="B65" s="3">
        <v>44990</v>
      </c>
      <c r="C65" s="2" t="s">
        <v>13</v>
      </c>
      <c r="D65" s="2"/>
      <c r="E65" s="2" t="s">
        <v>9</v>
      </c>
      <c r="F65" s="2">
        <v>538.4</v>
      </c>
      <c r="G65" s="2">
        <v>13.89</v>
      </c>
    </row>
    <row r="66" spans="1:7">
      <c r="A66" s="2" t="s">
        <v>83</v>
      </c>
      <c r="B66" s="3">
        <v>44991</v>
      </c>
      <c r="C66" s="2" t="s">
        <v>16</v>
      </c>
      <c r="D66" s="2" t="s">
        <v>22</v>
      </c>
      <c r="E66" s="2"/>
      <c r="F66" s="2">
        <v>68.59</v>
      </c>
      <c r="G66" s="2">
        <v>-134.72999999999999</v>
      </c>
    </row>
    <row r="67" spans="1:7">
      <c r="A67" s="2" t="s">
        <v>84</v>
      </c>
      <c r="B67" s="3">
        <v>44992</v>
      </c>
      <c r="C67" s="2"/>
      <c r="D67" s="2" t="s">
        <v>9</v>
      </c>
      <c r="E67" s="2"/>
      <c r="F67" s="2"/>
      <c r="G67" s="4"/>
    </row>
    <row r="68" spans="1:7">
      <c r="A68" s="2" t="s">
        <v>85</v>
      </c>
      <c r="B68" s="3">
        <v>44993</v>
      </c>
      <c r="C68" s="2" t="s">
        <v>16</v>
      </c>
      <c r="D68" s="2" t="s">
        <v>11</v>
      </c>
      <c r="E68" s="2" t="s">
        <v>9</v>
      </c>
      <c r="F68" s="2"/>
      <c r="G68" s="2">
        <v>-110.67</v>
      </c>
    </row>
    <row r="69" spans="1:7">
      <c r="A69" s="2" t="s">
        <v>86</v>
      </c>
      <c r="B69" s="3">
        <v>44994</v>
      </c>
      <c r="C69" s="2" t="s">
        <v>22</v>
      </c>
      <c r="D69" s="2" t="s">
        <v>24</v>
      </c>
      <c r="E69" s="2"/>
      <c r="F69" s="2">
        <v>-54.77</v>
      </c>
      <c r="G69" s="4"/>
    </row>
    <row r="70" spans="1:7">
      <c r="A70" s="2" t="s">
        <v>87</v>
      </c>
      <c r="B70" s="3">
        <v>44995</v>
      </c>
      <c r="C70" s="2" t="s">
        <v>13</v>
      </c>
      <c r="D70" s="2" t="s">
        <v>11</v>
      </c>
      <c r="E70" s="2" t="s">
        <v>32</v>
      </c>
      <c r="F70" s="2"/>
      <c r="G70" s="2">
        <v>-63.75</v>
      </c>
    </row>
    <row r="71" spans="1:7">
      <c r="A71" s="2" t="s">
        <v>88</v>
      </c>
      <c r="B71" s="3">
        <v>44996</v>
      </c>
      <c r="C71" s="2" t="s">
        <v>27</v>
      </c>
      <c r="D71" s="2" t="s">
        <v>11</v>
      </c>
      <c r="E71" s="2" t="s">
        <v>32</v>
      </c>
      <c r="F71" s="2"/>
      <c r="G71" s="2">
        <v>-8.1300000000000008</v>
      </c>
    </row>
    <row r="72" spans="1:7">
      <c r="A72" s="2" t="s">
        <v>89</v>
      </c>
      <c r="B72" s="3">
        <v>44997</v>
      </c>
      <c r="C72" s="2" t="s">
        <v>16</v>
      </c>
      <c r="D72" s="2" t="s">
        <v>8</v>
      </c>
      <c r="E72" s="2" t="s">
        <v>9</v>
      </c>
      <c r="F72" s="2"/>
      <c r="G72" s="2"/>
    </row>
    <row r="73" spans="1:7">
      <c r="A73" s="2" t="s">
        <v>90</v>
      </c>
      <c r="B73" s="3">
        <v>44998</v>
      </c>
      <c r="C73" s="2" t="s">
        <v>8</v>
      </c>
      <c r="D73" s="2"/>
      <c r="E73" s="2">
        <v>242.23</v>
      </c>
      <c r="F73" s="4"/>
      <c r="G73" s="4"/>
    </row>
    <row r="74" spans="1:7">
      <c r="A74" s="2" t="s">
        <v>91</v>
      </c>
      <c r="B74" s="3">
        <v>44999</v>
      </c>
      <c r="C74" s="2"/>
      <c r="D74" s="2" t="s">
        <v>18</v>
      </c>
      <c r="E74" s="2">
        <v>165.09</v>
      </c>
      <c r="F74" s="2">
        <v>228.88</v>
      </c>
      <c r="G74" s="4"/>
    </row>
    <row r="75" spans="1:7">
      <c r="A75" s="2" t="s">
        <v>92</v>
      </c>
      <c r="B75" s="3">
        <v>45000</v>
      </c>
      <c r="C75" s="2" t="s">
        <v>13</v>
      </c>
      <c r="D75" s="2" t="s">
        <v>22</v>
      </c>
      <c r="E75" s="2" t="s">
        <v>24</v>
      </c>
      <c r="F75" s="2"/>
      <c r="G75" s="2"/>
    </row>
    <row r="76" spans="1:7">
      <c r="A76" s="2" t="s">
        <v>93</v>
      </c>
      <c r="B76" s="3">
        <v>45001</v>
      </c>
      <c r="C76" s="2" t="s">
        <v>13</v>
      </c>
      <c r="D76" s="2"/>
      <c r="E76" s="2" t="s">
        <v>18</v>
      </c>
      <c r="F76" s="2">
        <v>316.38</v>
      </c>
      <c r="G76" s="2"/>
    </row>
    <row r="77" spans="1:7">
      <c r="A77" s="2" t="s">
        <v>94</v>
      </c>
      <c r="B77" s="3">
        <v>45002</v>
      </c>
      <c r="C77" s="2" t="s">
        <v>16</v>
      </c>
      <c r="D77" s="2" t="s">
        <v>8</v>
      </c>
      <c r="E77" s="2" t="s">
        <v>14</v>
      </c>
      <c r="F77" s="2"/>
      <c r="G77" s="2"/>
    </row>
    <row r="78" spans="1:7">
      <c r="A78" s="2" t="s">
        <v>95</v>
      </c>
      <c r="B78" s="3">
        <v>45003</v>
      </c>
      <c r="C78" s="2" t="s">
        <v>11</v>
      </c>
      <c r="D78" s="2" t="s">
        <v>32</v>
      </c>
      <c r="E78" s="2">
        <v>521.54</v>
      </c>
      <c r="F78" s="2"/>
      <c r="G78" s="4"/>
    </row>
    <row r="79" spans="1:7">
      <c r="A79" s="2" t="s">
        <v>96</v>
      </c>
      <c r="B79" s="3">
        <v>45004</v>
      </c>
      <c r="C79" s="2" t="s">
        <v>8</v>
      </c>
      <c r="D79" s="2" t="s">
        <v>18</v>
      </c>
      <c r="E79" s="2">
        <v>482.89</v>
      </c>
      <c r="F79" s="2">
        <v>-126.51</v>
      </c>
      <c r="G79" s="4"/>
    </row>
    <row r="80" spans="1:7">
      <c r="A80" s="2" t="s">
        <v>97</v>
      </c>
      <c r="B80" s="3">
        <v>45005</v>
      </c>
      <c r="C80" s="2" t="s">
        <v>13</v>
      </c>
      <c r="D80" s="2" t="s">
        <v>8</v>
      </c>
      <c r="E80" s="2"/>
      <c r="F80" s="2"/>
      <c r="G80" s="4"/>
    </row>
    <row r="81" spans="1:7">
      <c r="A81" s="2" t="s">
        <v>98</v>
      </c>
      <c r="B81" s="3">
        <v>45006</v>
      </c>
      <c r="C81" s="2" t="s">
        <v>27</v>
      </c>
      <c r="D81" s="2"/>
      <c r="E81" s="2" t="s">
        <v>9</v>
      </c>
      <c r="F81" s="2"/>
      <c r="G81" s="2">
        <v>-66.41</v>
      </c>
    </row>
    <row r="82" spans="1:7">
      <c r="A82" s="2" t="s">
        <v>99</v>
      </c>
      <c r="B82" s="3">
        <v>45007</v>
      </c>
      <c r="C82" s="2" t="s">
        <v>16</v>
      </c>
      <c r="D82" s="2"/>
      <c r="E82" s="2" t="s">
        <v>14</v>
      </c>
      <c r="F82" s="2"/>
      <c r="G82" s="2">
        <v>101.1</v>
      </c>
    </row>
    <row r="83" spans="1:7">
      <c r="A83" s="2" t="s">
        <v>100</v>
      </c>
      <c r="B83" s="3">
        <v>45008</v>
      </c>
      <c r="C83" s="2" t="s">
        <v>13</v>
      </c>
      <c r="D83" s="2" t="s">
        <v>8</v>
      </c>
      <c r="E83" s="2" t="s">
        <v>18</v>
      </c>
      <c r="F83" s="2">
        <v>521.22</v>
      </c>
      <c r="G83" s="2"/>
    </row>
    <row r="84" spans="1:7">
      <c r="A84" s="2" t="s">
        <v>101</v>
      </c>
      <c r="B84" s="3">
        <v>45009</v>
      </c>
      <c r="C84" s="2" t="s">
        <v>21</v>
      </c>
      <c r="D84" s="2" t="s">
        <v>8</v>
      </c>
      <c r="E84" s="2" t="s">
        <v>14</v>
      </c>
      <c r="F84" s="2"/>
      <c r="G84" s="2">
        <v>248.41</v>
      </c>
    </row>
    <row r="85" spans="1:7">
      <c r="A85" s="2" t="s">
        <v>102</v>
      </c>
      <c r="B85" s="3">
        <v>45010</v>
      </c>
      <c r="C85" s="2" t="s">
        <v>8</v>
      </c>
      <c r="D85" s="2" t="s">
        <v>9</v>
      </c>
      <c r="E85" s="2"/>
      <c r="F85" s="2"/>
      <c r="G85" s="4"/>
    </row>
    <row r="86" spans="1:7">
      <c r="A86" s="2" t="s">
        <v>103</v>
      </c>
      <c r="B86" s="3">
        <v>45011</v>
      </c>
      <c r="C86" s="2" t="s">
        <v>27</v>
      </c>
      <c r="D86" s="2" t="s">
        <v>8</v>
      </c>
      <c r="E86" s="2" t="s">
        <v>14</v>
      </c>
      <c r="F86" s="2"/>
      <c r="G86" s="2"/>
    </row>
    <row r="87" spans="1:7">
      <c r="A87" s="2" t="s">
        <v>104</v>
      </c>
      <c r="B87" s="3">
        <v>45012</v>
      </c>
      <c r="C87" s="2"/>
      <c r="D87" s="2" t="s">
        <v>18</v>
      </c>
      <c r="E87" s="2">
        <v>911.88</v>
      </c>
      <c r="F87" s="2">
        <v>31.04</v>
      </c>
      <c r="G87" s="4"/>
    </row>
    <row r="88" spans="1:7">
      <c r="A88" s="2" t="s">
        <v>105</v>
      </c>
      <c r="B88" s="3">
        <v>45013</v>
      </c>
      <c r="C88" s="2" t="s">
        <v>16</v>
      </c>
      <c r="D88" s="2" t="s">
        <v>22</v>
      </c>
      <c r="E88" s="2" t="s">
        <v>24</v>
      </c>
      <c r="F88" s="2"/>
      <c r="G88" s="2"/>
    </row>
    <row r="89" spans="1:7">
      <c r="A89" s="2" t="s">
        <v>106</v>
      </c>
      <c r="B89" s="3">
        <v>45014</v>
      </c>
      <c r="C89" s="2" t="s">
        <v>8</v>
      </c>
      <c r="D89" s="2" t="s">
        <v>24</v>
      </c>
      <c r="E89" s="2"/>
      <c r="F89" s="2">
        <v>235.59</v>
      </c>
      <c r="G89" s="4"/>
    </row>
    <row r="90" spans="1:7">
      <c r="A90" s="2" t="s">
        <v>107</v>
      </c>
      <c r="B90" s="3">
        <v>45015</v>
      </c>
      <c r="C90" s="2" t="s">
        <v>21</v>
      </c>
      <c r="D90" s="2"/>
      <c r="E90" s="2" t="s">
        <v>32</v>
      </c>
      <c r="F90" s="2">
        <v>987.43</v>
      </c>
      <c r="G90" s="2"/>
    </row>
    <row r="91" spans="1:7">
      <c r="A91" s="2" t="s">
        <v>108</v>
      </c>
      <c r="B91" s="3">
        <v>45016</v>
      </c>
      <c r="C91" s="2" t="s">
        <v>21</v>
      </c>
      <c r="D91" s="2" t="s">
        <v>22</v>
      </c>
      <c r="E91" s="2" t="s">
        <v>32</v>
      </c>
      <c r="F91" s="2">
        <v>192.92</v>
      </c>
      <c r="G91" s="2">
        <v>244.33</v>
      </c>
    </row>
    <row r="92" spans="1:7">
      <c r="A92" s="2" t="s">
        <v>109</v>
      </c>
      <c r="B92" s="3">
        <v>45017</v>
      </c>
      <c r="C92" s="2" t="s">
        <v>16</v>
      </c>
      <c r="D92" s="2"/>
      <c r="E92" s="2" t="s">
        <v>14</v>
      </c>
      <c r="F92" s="2"/>
      <c r="G92" s="2">
        <v>-148.09</v>
      </c>
    </row>
    <row r="93" spans="1:7">
      <c r="A93" s="2" t="s">
        <v>110</v>
      </c>
      <c r="B93" s="3">
        <v>45018</v>
      </c>
      <c r="C93" s="2" t="s">
        <v>27</v>
      </c>
      <c r="D93" s="2" t="s">
        <v>11</v>
      </c>
      <c r="E93" s="2" t="s">
        <v>14</v>
      </c>
      <c r="F93" s="2"/>
      <c r="G93" s="2">
        <v>193.97</v>
      </c>
    </row>
    <row r="94" spans="1:7">
      <c r="A94" s="2" t="s">
        <v>111</v>
      </c>
      <c r="B94" s="3">
        <v>45019</v>
      </c>
      <c r="C94" s="2"/>
      <c r="D94" s="2"/>
      <c r="E94" s="2">
        <v>899.86</v>
      </c>
      <c r="F94" s="2"/>
      <c r="G94" s="4"/>
    </row>
    <row r="95" spans="1:7">
      <c r="A95" s="2" t="s">
        <v>112</v>
      </c>
      <c r="B95" s="3">
        <v>45020</v>
      </c>
      <c r="C95" s="2" t="s">
        <v>22</v>
      </c>
      <c r="D95" s="2" t="s">
        <v>18</v>
      </c>
      <c r="E95" s="2"/>
      <c r="F95" s="2">
        <v>-94.02</v>
      </c>
      <c r="G95" s="4"/>
    </row>
    <row r="96" spans="1:7">
      <c r="A96" s="2" t="s">
        <v>113</v>
      </c>
      <c r="B96" s="3">
        <v>45021</v>
      </c>
      <c r="C96" s="2"/>
      <c r="D96" s="2"/>
      <c r="E96" s="2"/>
      <c r="F96" s="2"/>
      <c r="G96" s="4"/>
    </row>
    <row r="97" spans="1:7">
      <c r="A97" s="2" t="s">
        <v>114</v>
      </c>
      <c r="B97" s="3">
        <v>45022</v>
      </c>
      <c r="C97" s="2" t="s">
        <v>16</v>
      </c>
      <c r="D97" s="2"/>
      <c r="E97" s="2" t="s">
        <v>32</v>
      </c>
      <c r="F97" s="2">
        <v>663.6</v>
      </c>
      <c r="G97" s="2"/>
    </row>
    <row r="98" spans="1:7">
      <c r="A98" s="2" t="s">
        <v>115</v>
      </c>
      <c r="B98" s="3">
        <v>45023</v>
      </c>
      <c r="C98" s="2" t="s">
        <v>13</v>
      </c>
      <c r="D98" s="2"/>
      <c r="E98" s="2" t="s">
        <v>14</v>
      </c>
      <c r="F98" s="2"/>
      <c r="G98" s="2">
        <v>168.47</v>
      </c>
    </row>
    <row r="99" spans="1:7">
      <c r="A99" s="2" t="s">
        <v>116</v>
      </c>
      <c r="B99" s="3">
        <v>45024</v>
      </c>
      <c r="C99" s="2" t="s">
        <v>21</v>
      </c>
      <c r="D99" s="2" t="s">
        <v>11</v>
      </c>
      <c r="E99" s="2" t="s">
        <v>32</v>
      </c>
      <c r="F99" s="2">
        <v>775.09</v>
      </c>
      <c r="G99" s="2">
        <v>264.54000000000002</v>
      </c>
    </row>
    <row r="100" spans="1:7">
      <c r="A100" s="2" t="s">
        <v>117</v>
      </c>
      <c r="B100" s="3">
        <v>45025</v>
      </c>
      <c r="C100" s="2" t="s">
        <v>27</v>
      </c>
      <c r="D100" s="2" t="s">
        <v>22</v>
      </c>
      <c r="E100" s="2" t="s">
        <v>32</v>
      </c>
      <c r="F100" s="2">
        <v>746.53</v>
      </c>
      <c r="G100" s="2"/>
    </row>
    <row r="101" spans="1:7">
      <c r="A101" s="2" t="s">
        <v>118</v>
      </c>
      <c r="B101" s="3">
        <v>45026</v>
      </c>
      <c r="C101" s="2" t="s">
        <v>21</v>
      </c>
      <c r="D101" s="2"/>
      <c r="E101" s="2"/>
      <c r="F101" s="2">
        <v>460.75</v>
      </c>
      <c r="G101" s="2"/>
    </row>
    <row r="102" spans="1:7">
      <c r="A102" s="2" t="s">
        <v>119</v>
      </c>
      <c r="B102" s="3">
        <v>45027</v>
      </c>
      <c r="C102" s="2" t="s">
        <v>21</v>
      </c>
      <c r="D102" s="2"/>
      <c r="E102" s="2"/>
      <c r="F102" s="2"/>
      <c r="G102" s="2"/>
    </row>
    <row r="103" spans="1:7">
      <c r="A103" s="2" t="s">
        <v>120</v>
      </c>
      <c r="B103" s="3">
        <v>45028</v>
      </c>
      <c r="C103" s="2"/>
      <c r="D103" s="2" t="s">
        <v>18</v>
      </c>
      <c r="E103" s="2">
        <v>769.2</v>
      </c>
      <c r="F103" s="2">
        <v>180.06</v>
      </c>
      <c r="G103" s="4"/>
    </row>
    <row r="104" spans="1:7">
      <c r="A104" s="2" t="s">
        <v>121</v>
      </c>
      <c r="B104" s="3">
        <v>45029</v>
      </c>
      <c r="C104" s="2" t="s">
        <v>13</v>
      </c>
      <c r="D104" s="2"/>
      <c r="E104" s="2" t="s">
        <v>14</v>
      </c>
      <c r="F104" s="2"/>
      <c r="G104" s="2"/>
    </row>
    <row r="105" spans="1:7">
      <c r="A105" s="2" t="s">
        <v>122</v>
      </c>
      <c r="B105" s="3">
        <v>45030</v>
      </c>
      <c r="C105" s="2" t="s">
        <v>27</v>
      </c>
      <c r="D105" s="2" t="s">
        <v>8</v>
      </c>
      <c r="E105" s="2" t="s">
        <v>14</v>
      </c>
      <c r="F105" s="2"/>
      <c r="G105" s="2">
        <v>-122.09</v>
      </c>
    </row>
    <row r="106" spans="1:7">
      <c r="A106" s="2" t="s">
        <v>123</v>
      </c>
      <c r="B106" s="3">
        <v>45031</v>
      </c>
      <c r="C106" s="2" t="s">
        <v>13</v>
      </c>
      <c r="D106" s="2" t="s">
        <v>22</v>
      </c>
      <c r="E106" s="2" t="s">
        <v>24</v>
      </c>
      <c r="F106" s="2"/>
      <c r="G106" s="2">
        <v>-21.29</v>
      </c>
    </row>
    <row r="107" spans="1:7">
      <c r="A107" s="2" t="s">
        <v>124</v>
      </c>
      <c r="B107" s="3">
        <v>45032</v>
      </c>
      <c r="C107" s="2" t="s">
        <v>22</v>
      </c>
      <c r="D107" s="2"/>
      <c r="E107" s="2">
        <v>966.11</v>
      </c>
      <c r="F107" s="2"/>
      <c r="G107" s="4"/>
    </row>
    <row r="108" spans="1:7">
      <c r="A108" s="2" t="s">
        <v>125</v>
      </c>
      <c r="B108" s="3">
        <v>45033</v>
      </c>
      <c r="C108" s="2" t="s">
        <v>21</v>
      </c>
      <c r="D108" s="2" t="s">
        <v>8</v>
      </c>
      <c r="E108" s="2" t="s">
        <v>14</v>
      </c>
      <c r="F108" s="2">
        <v>706.58</v>
      </c>
      <c r="G108" s="2">
        <v>41.62</v>
      </c>
    </row>
    <row r="109" spans="1:7">
      <c r="A109" s="2" t="s">
        <v>126</v>
      </c>
      <c r="B109" s="3">
        <v>45034</v>
      </c>
      <c r="C109" s="2" t="s">
        <v>21</v>
      </c>
      <c r="D109" s="2" t="s">
        <v>8</v>
      </c>
      <c r="E109" s="2">
        <v>289.52999999999997</v>
      </c>
      <c r="F109" s="2"/>
      <c r="G109" s="4"/>
    </row>
    <row r="110" spans="1:7">
      <c r="A110" s="2" t="s">
        <v>127</v>
      </c>
      <c r="B110" s="3">
        <v>45035</v>
      </c>
      <c r="C110" s="2" t="s">
        <v>16</v>
      </c>
      <c r="D110" s="2" t="s">
        <v>11</v>
      </c>
      <c r="E110" s="2" t="s">
        <v>9</v>
      </c>
      <c r="F110" s="2"/>
      <c r="G110" s="2"/>
    </row>
    <row r="111" spans="1:7">
      <c r="A111" s="2" t="s">
        <v>128</v>
      </c>
      <c r="B111" s="3">
        <v>45036</v>
      </c>
      <c r="C111" s="2" t="s">
        <v>16</v>
      </c>
      <c r="D111" s="2" t="s">
        <v>22</v>
      </c>
      <c r="E111" s="2" t="s">
        <v>9</v>
      </c>
      <c r="F111" s="2"/>
      <c r="G111" s="2">
        <v>-93.05</v>
      </c>
    </row>
    <row r="112" spans="1:7">
      <c r="A112" s="2" t="s">
        <v>129</v>
      </c>
      <c r="B112" s="3">
        <v>45037</v>
      </c>
      <c r="C112" s="2" t="s">
        <v>27</v>
      </c>
      <c r="D112" s="2" t="s">
        <v>11</v>
      </c>
      <c r="E112" s="2" t="s">
        <v>32</v>
      </c>
      <c r="F112" s="2">
        <v>293.22000000000003</v>
      </c>
      <c r="G112" s="2"/>
    </row>
    <row r="113" spans="1:7">
      <c r="A113" s="2" t="s">
        <v>130</v>
      </c>
      <c r="B113" s="3">
        <v>45038</v>
      </c>
      <c r="C113" s="2" t="s">
        <v>21</v>
      </c>
      <c r="D113" s="2" t="s">
        <v>22</v>
      </c>
      <c r="E113" s="2"/>
      <c r="F113" s="2"/>
      <c r="G113" s="2"/>
    </row>
    <row r="114" spans="1:7">
      <c r="A114" s="2" t="s">
        <v>131</v>
      </c>
      <c r="B114" s="3">
        <v>45039</v>
      </c>
      <c r="C114" s="2" t="s">
        <v>8</v>
      </c>
      <c r="D114" s="2" t="s">
        <v>9</v>
      </c>
      <c r="E114" s="2"/>
      <c r="F114" s="2"/>
      <c r="G114" s="4"/>
    </row>
    <row r="115" spans="1:7">
      <c r="A115" s="2" t="s">
        <v>132</v>
      </c>
      <c r="B115" s="3">
        <v>45040</v>
      </c>
      <c r="C115" s="2" t="s">
        <v>27</v>
      </c>
      <c r="D115" s="2"/>
      <c r="E115" s="2" t="s">
        <v>18</v>
      </c>
      <c r="F115" s="2">
        <v>830.03</v>
      </c>
      <c r="G115" s="2"/>
    </row>
    <row r="116" spans="1:7">
      <c r="A116" s="2" t="s">
        <v>133</v>
      </c>
      <c r="B116" s="3">
        <v>45041</v>
      </c>
      <c r="C116" s="2" t="s">
        <v>16</v>
      </c>
      <c r="D116" s="2" t="s">
        <v>8</v>
      </c>
      <c r="E116" s="2" t="s">
        <v>14</v>
      </c>
      <c r="F116" s="2"/>
      <c r="G116" s="2"/>
    </row>
    <row r="117" spans="1:7">
      <c r="A117" s="2" t="s">
        <v>134</v>
      </c>
      <c r="B117" s="3">
        <v>45042</v>
      </c>
      <c r="C117" s="2" t="s">
        <v>16</v>
      </c>
      <c r="D117" s="2" t="s">
        <v>11</v>
      </c>
      <c r="E117" s="2" t="s">
        <v>14</v>
      </c>
      <c r="F117" s="2">
        <v>619.66</v>
      </c>
      <c r="G117" s="2">
        <v>24.24</v>
      </c>
    </row>
    <row r="118" spans="1:7">
      <c r="A118" s="2" t="s">
        <v>135</v>
      </c>
      <c r="B118" s="3">
        <v>45043</v>
      </c>
      <c r="C118" s="2" t="s">
        <v>13</v>
      </c>
      <c r="D118" s="2"/>
      <c r="E118" s="2" t="s">
        <v>14</v>
      </c>
      <c r="F118" s="2"/>
      <c r="G118" s="2">
        <v>154.26</v>
      </c>
    </row>
    <row r="119" spans="1:7">
      <c r="A119" s="2" t="s">
        <v>136</v>
      </c>
      <c r="B119" s="3">
        <v>45044</v>
      </c>
      <c r="C119" s="2" t="s">
        <v>21</v>
      </c>
      <c r="D119" s="2" t="s">
        <v>8</v>
      </c>
      <c r="E119" s="2" t="s">
        <v>14</v>
      </c>
      <c r="F119" s="2"/>
      <c r="G119" s="2">
        <v>283.2</v>
      </c>
    </row>
    <row r="120" spans="1:7">
      <c r="A120" s="2" t="s">
        <v>137</v>
      </c>
      <c r="B120" s="3">
        <v>45045</v>
      </c>
      <c r="C120" s="2" t="s">
        <v>13</v>
      </c>
      <c r="D120" s="2" t="s">
        <v>22</v>
      </c>
      <c r="E120" s="2"/>
      <c r="F120" s="2">
        <v>85.8</v>
      </c>
      <c r="G120" s="2"/>
    </row>
    <row r="121" spans="1:7">
      <c r="A121" s="2" t="s">
        <v>138</v>
      </c>
      <c r="B121" s="3">
        <v>45046</v>
      </c>
      <c r="C121" s="2" t="s">
        <v>21</v>
      </c>
      <c r="D121" s="2" t="s">
        <v>8</v>
      </c>
      <c r="E121" s="2" t="s">
        <v>14</v>
      </c>
      <c r="F121" s="2">
        <v>682.66</v>
      </c>
      <c r="G121" s="2">
        <v>90.2</v>
      </c>
    </row>
    <row r="122" spans="1:7">
      <c r="A122" s="2" t="s">
        <v>139</v>
      </c>
      <c r="B122" s="3">
        <v>45047</v>
      </c>
      <c r="C122" s="2" t="s">
        <v>13</v>
      </c>
      <c r="D122" s="2" t="s">
        <v>8</v>
      </c>
      <c r="E122" s="2" t="s">
        <v>32</v>
      </c>
      <c r="F122" s="2">
        <v>277.77999999999997</v>
      </c>
      <c r="G122" s="2"/>
    </row>
    <row r="123" spans="1:7">
      <c r="A123" s="2" t="s">
        <v>140</v>
      </c>
      <c r="B123" s="3">
        <v>45048</v>
      </c>
      <c r="C123" s="2" t="s">
        <v>13</v>
      </c>
      <c r="D123" s="2" t="s">
        <v>22</v>
      </c>
      <c r="E123" s="2" t="s">
        <v>24</v>
      </c>
      <c r="F123" s="2"/>
      <c r="G123" s="2"/>
    </row>
    <row r="124" spans="1:7">
      <c r="A124" s="2" t="s">
        <v>141</v>
      </c>
      <c r="B124" s="3">
        <v>45049</v>
      </c>
      <c r="C124" s="2" t="s">
        <v>16</v>
      </c>
      <c r="D124" s="2" t="s">
        <v>22</v>
      </c>
      <c r="E124" s="2"/>
      <c r="F124" s="2"/>
      <c r="G124" s="2">
        <v>142.87</v>
      </c>
    </row>
    <row r="125" spans="1:7">
      <c r="A125" s="2" t="s">
        <v>142</v>
      </c>
      <c r="B125" s="3">
        <v>45050</v>
      </c>
      <c r="C125" s="2"/>
      <c r="D125" s="2" t="s">
        <v>24</v>
      </c>
      <c r="E125" s="2">
        <v>400.02</v>
      </c>
      <c r="F125" s="2"/>
      <c r="G125" s="4"/>
    </row>
    <row r="126" spans="1:7">
      <c r="A126" s="2" t="s">
        <v>143</v>
      </c>
      <c r="B126" s="3">
        <v>45051</v>
      </c>
      <c r="C126" s="2" t="s">
        <v>27</v>
      </c>
      <c r="D126" s="2" t="s">
        <v>8</v>
      </c>
      <c r="E126" s="2">
        <v>843.16</v>
      </c>
      <c r="F126" s="2">
        <v>257.92</v>
      </c>
      <c r="G126" s="4"/>
    </row>
    <row r="127" spans="1:7">
      <c r="A127" s="2" t="s">
        <v>144</v>
      </c>
      <c r="B127" s="3">
        <v>45052</v>
      </c>
      <c r="C127" s="2" t="s">
        <v>16</v>
      </c>
      <c r="D127" s="2"/>
      <c r="E127" s="2" t="s">
        <v>32</v>
      </c>
      <c r="F127" s="2">
        <v>974.23</v>
      </c>
      <c r="G127" s="2"/>
    </row>
    <row r="128" spans="1:7">
      <c r="A128" s="2" t="s">
        <v>145</v>
      </c>
      <c r="B128" s="3">
        <v>45053</v>
      </c>
      <c r="C128" s="2" t="s">
        <v>27</v>
      </c>
      <c r="D128" s="2" t="s">
        <v>22</v>
      </c>
      <c r="E128" s="2" t="s">
        <v>18</v>
      </c>
      <c r="F128" s="2">
        <v>672.18</v>
      </c>
      <c r="G128" s="2">
        <v>-79.44</v>
      </c>
    </row>
    <row r="129" spans="1:7">
      <c r="A129" s="2" t="s">
        <v>146</v>
      </c>
      <c r="B129" s="3">
        <v>45054</v>
      </c>
      <c r="C129" s="2" t="s">
        <v>16</v>
      </c>
      <c r="D129" s="2" t="s">
        <v>22</v>
      </c>
      <c r="E129" s="2" t="s">
        <v>32</v>
      </c>
      <c r="F129" s="2">
        <v>108.59</v>
      </c>
      <c r="G129" s="2"/>
    </row>
    <row r="130" spans="1:7">
      <c r="A130" s="2" t="s">
        <v>147</v>
      </c>
      <c r="B130" s="3">
        <v>45055</v>
      </c>
      <c r="C130" s="2" t="s">
        <v>13</v>
      </c>
      <c r="D130" s="2"/>
      <c r="E130" s="2" t="s">
        <v>9</v>
      </c>
      <c r="F130" s="2">
        <v>165.5</v>
      </c>
      <c r="G130" s="2"/>
    </row>
    <row r="131" spans="1:7">
      <c r="A131" s="2" t="s">
        <v>148</v>
      </c>
      <c r="B131" s="3">
        <v>45056</v>
      </c>
      <c r="C131" s="2" t="s">
        <v>21</v>
      </c>
      <c r="D131" s="2" t="s">
        <v>8</v>
      </c>
      <c r="E131" s="2" t="s">
        <v>9</v>
      </c>
      <c r="F131" s="2"/>
      <c r="G131" s="2">
        <v>-128.66999999999999</v>
      </c>
    </row>
    <row r="132" spans="1:7">
      <c r="A132" s="2" t="s">
        <v>149</v>
      </c>
      <c r="B132" s="3">
        <v>45057</v>
      </c>
      <c r="C132" s="2" t="s">
        <v>27</v>
      </c>
      <c r="D132" s="2" t="s">
        <v>22</v>
      </c>
      <c r="E132" s="2" t="s">
        <v>24</v>
      </c>
      <c r="F132" s="2"/>
      <c r="G132" s="2">
        <v>199.8</v>
      </c>
    </row>
    <row r="133" spans="1:7">
      <c r="A133" s="2" t="s">
        <v>150</v>
      </c>
      <c r="B133" s="3">
        <v>45058</v>
      </c>
      <c r="C133" s="2" t="s">
        <v>13</v>
      </c>
      <c r="D133" s="2" t="s">
        <v>11</v>
      </c>
      <c r="E133" s="2" t="s">
        <v>18</v>
      </c>
      <c r="F133" s="2">
        <v>809.64</v>
      </c>
      <c r="G133" s="2"/>
    </row>
    <row r="134" spans="1:7">
      <c r="A134" s="2" t="s">
        <v>151</v>
      </c>
      <c r="B134" s="3">
        <v>45059</v>
      </c>
      <c r="C134" s="2" t="s">
        <v>8</v>
      </c>
      <c r="D134" s="2" t="s">
        <v>9</v>
      </c>
      <c r="E134" s="2">
        <v>376.58</v>
      </c>
      <c r="F134" s="2">
        <v>53.82</v>
      </c>
      <c r="G134" s="4"/>
    </row>
    <row r="135" spans="1:7">
      <c r="A135" s="2" t="s">
        <v>152</v>
      </c>
      <c r="B135" s="3">
        <v>45060</v>
      </c>
      <c r="C135" s="2" t="s">
        <v>16</v>
      </c>
      <c r="D135" s="2" t="s">
        <v>22</v>
      </c>
      <c r="E135" s="2" t="s">
        <v>9</v>
      </c>
      <c r="F135" s="2">
        <v>221.94</v>
      </c>
      <c r="G135" s="2">
        <v>-185.09</v>
      </c>
    </row>
    <row r="136" spans="1:7">
      <c r="A136" s="2" t="s">
        <v>153</v>
      </c>
      <c r="B136" s="3">
        <v>45061</v>
      </c>
      <c r="C136" s="2" t="s">
        <v>11</v>
      </c>
      <c r="D136" s="2" t="s">
        <v>14</v>
      </c>
      <c r="E136" s="2"/>
      <c r="F136" s="2">
        <v>257.64999999999998</v>
      </c>
      <c r="G136" s="4"/>
    </row>
    <row r="137" spans="1:7">
      <c r="A137" s="2" t="s">
        <v>154</v>
      </c>
      <c r="B137" s="3">
        <v>45062</v>
      </c>
      <c r="C137" s="2"/>
      <c r="D137" s="2" t="s">
        <v>14</v>
      </c>
      <c r="E137" s="2">
        <v>261.14999999999998</v>
      </c>
      <c r="F137" s="2"/>
      <c r="G137" s="4"/>
    </row>
    <row r="138" spans="1:7">
      <c r="A138" s="2" t="s">
        <v>155</v>
      </c>
      <c r="B138" s="3">
        <v>45063</v>
      </c>
      <c r="C138" s="2" t="s">
        <v>8</v>
      </c>
      <c r="D138" s="2" t="s">
        <v>18</v>
      </c>
      <c r="E138" s="2"/>
      <c r="F138" s="2"/>
      <c r="G138" s="4"/>
    </row>
    <row r="139" spans="1:7">
      <c r="A139" s="2" t="s">
        <v>156</v>
      </c>
      <c r="B139" s="3">
        <v>45064</v>
      </c>
      <c r="C139" s="2" t="s">
        <v>16</v>
      </c>
      <c r="D139" s="2" t="s">
        <v>8</v>
      </c>
      <c r="E139" s="2" t="s">
        <v>32</v>
      </c>
      <c r="F139" s="2"/>
      <c r="G139" s="2">
        <v>-51.13</v>
      </c>
    </row>
    <row r="140" spans="1:7">
      <c r="A140" s="2" t="s">
        <v>157</v>
      </c>
      <c r="B140" s="3">
        <v>45065</v>
      </c>
      <c r="C140" s="2" t="s">
        <v>13</v>
      </c>
      <c r="D140" s="2"/>
      <c r="E140" s="2" t="s">
        <v>24</v>
      </c>
      <c r="F140" s="2"/>
      <c r="G140" s="2">
        <v>-40.36</v>
      </c>
    </row>
    <row r="141" spans="1:7">
      <c r="A141" s="2" t="s">
        <v>158</v>
      </c>
      <c r="B141" s="3">
        <v>45066</v>
      </c>
      <c r="C141" s="2" t="s">
        <v>16</v>
      </c>
      <c r="D141" s="2" t="s">
        <v>22</v>
      </c>
      <c r="E141" s="2" t="s">
        <v>32</v>
      </c>
      <c r="F141" s="2"/>
      <c r="G141" s="2">
        <v>124.44</v>
      </c>
    </row>
    <row r="142" spans="1:7">
      <c r="A142" s="2" t="s">
        <v>159</v>
      </c>
      <c r="B142" s="3">
        <v>45067</v>
      </c>
      <c r="C142" s="2" t="s">
        <v>16</v>
      </c>
      <c r="D142" s="2" t="s">
        <v>8</v>
      </c>
      <c r="E142" s="2" t="s">
        <v>14</v>
      </c>
      <c r="F142" s="2">
        <v>797.32</v>
      </c>
      <c r="G142" s="2">
        <v>41.18</v>
      </c>
    </row>
    <row r="143" spans="1:7">
      <c r="A143" s="2" t="s">
        <v>160</v>
      </c>
      <c r="B143" s="3">
        <v>45068</v>
      </c>
      <c r="C143" s="2" t="s">
        <v>13</v>
      </c>
      <c r="D143" s="2" t="s">
        <v>11</v>
      </c>
      <c r="E143" s="2" t="s">
        <v>14</v>
      </c>
      <c r="F143" s="2"/>
      <c r="G143" s="2"/>
    </row>
    <row r="144" spans="1:7">
      <c r="A144" s="2" t="s">
        <v>161</v>
      </c>
      <c r="B144" s="3">
        <v>45069</v>
      </c>
      <c r="C144" s="2" t="s">
        <v>11</v>
      </c>
      <c r="D144" s="2" t="s">
        <v>9</v>
      </c>
      <c r="E144" s="2">
        <v>878.62</v>
      </c>
      <c r="F144" s="2"/>
      <c r="G144" s="4"/>
    </row>
    <row r="145" spans="1:7">
      <c r="A145" s="2" t="s">
        <v>162</v>
      </c>
      <c r="B145" s="3">
        <v>45070</v>
      </c>
      <c r="C145" s="2"/>
      <c r="D145" s="2" t="s">
        <v>24</v>
      </c>
      <c r="E145" s="2">
        <v>318.55</v>
      </c>
      <c r="F145" s="2">
        <v>-160.27000000000001</v>
      </c>
      <c r="G145" s="4"/>
    </row>
    <row r="146" spans="1:7">
      <c r="A146" s="2" t="s">
        <v>163</v>
      </c>
      <c r="B146" s="3">
        <v>45071</v>
      </c>
      <c r="C146" s="2" t="s">
        <v>13</v>
      </c>
      <c r="D146" s="2" t="s">
        <v>22</v>
      </c>
      <c r="E146" s="2" t="s">
        <v>32</v>
      </c>
      <c r="F146" s="2"/>
      <c r="G146" s="2">
        <v>93.92</v>
      </c>
    </row>
    <row r="147" spans="1:7">
      <c r="A147" s="2" t="s">
        <v>164</v>
      </c>
      <c r="B147" s="3">
        <v>45072</v>
      </c>
      <c r="C147" s="2" t="s">
        <v>16</v>
      </c>
      <c r="D147" s="2"/>
      <c r="E147" s="2" t="s">
        <v>18</v>
      </c>
      <c r="F147" s="2">
        <v>750.46</v>
      </c>
      <c r="G147" s="2"/>
    </row>
    <row r="148" spans="1:7">
      <c r="A148" s="2" t="s">
        <v>165</v>
      </c>
      <c r="B148" s="3">
        <v>45073</v>
      </c>
      <c r="C148" s="2" t="s">
        <v>13</v>
      </c>
      <c r="D148" s="2" t="s">
        <v>11</v>
      </c>
      <c r="E148" s="2" t="s">
        <v>14</v>
      </c>
      <c r="F148" s="2">
        <v>181.45</v>
      </c>
      <c r="G148" s="2"/>
    </row>
    <row r="149" spans="1:7">
      <c r="A149" s="2" t="s">
        <v>166</v>
      </c>
      <c r="B149" s="3">
        <v>45074</v>
      </c>
      <c r="C149" s="2" t="s">
        <v>8</v>
      </c>
      <c r="D149" s="2" t="s">
        <v>32</v>
      </c>
      <c r="E149" s="2"/>
      <c r="F149" s="2"/>
      <c r="G149" s="4"/>
    </row>
    <row r="150" spans="1:7">
      <c r="A150" s="2" t="s">
        <v>167</v>
      </c>
      <c r="B150" s="3">
        <v>45075</v>
      </c>
      <c r="C150" s="2" t="s">
        <v>8</v>
      </c>
      <c r="D150" s="2" t="s">
        <v>14</v>
      </c>
      <c r="E150" s="2">
        <v>710.3</v>
      </c>
      <c r="F150" s="2">
        <v>-62.34</v>
      </c>
      <c r="G150" s="4"/>
    </row>
    <row r="151" spans="1:7">
      <c r="A151" s="2" t="s">
        <v>168</v>
      </c>
      <c r="B151" s="3">
        <v>45076</v>
      </c>
      <c r="C151" s="2" t="s">
        <v>21</v>
      </c>
      <c r="D151" s="2" t="s">
        <v>8</v>
      </c>
      <c r="E151" s="2" t="s">
        <v>14</v>
      </c>
      <c r="F151" s="2">
        <v>922.57</v>
      </c>
      <c r="G151" s="2">
        <v>-36.43</v>
      </c>
    </row>
    <row r="152" spans="1:7">
      <c r="A152" s="2" t="s">
        <v>169</v>
      </c>
      <c r="B152" s="3">
        <v>45077</v>
      </c>
      <c r="C152" s="2"/>
      <c r="D152" s="2" t="s">
        <v>9</v>
      </c>
      <c r="E152" s="2">
        <v>395</v>
      </c>
      <c r="F152" s="2">
        <v>278.01</v>
      </c>
      <c r="G152" s="4"/>
    </row>
    <row r="153" spans="1:7">
      <c r="A153" s="2" t="s">
        <v>170</v>
      </c>
      <c r="B153" s="3">
        <v>45078</v>
      </c>
      <c r="C153" s="2" t="s">
        <v>13</v>
      </c>
      <c r="D153" s="2" t="s">
        <v>11</v>
      </c>
      <c r="E153" s="2"/>
      <c r="F153" s="2"/>
      <c r="G153" s="2">
        <v>41.88</v>
      </c>
    </row>
    <row r="154" spans="1:7">
      <c r="A154" s="2" t="s">
        <v>171</v>
      </c>
      <c r="B154" s="3">
        <v>45079</v>
      </c>
      <c r="C154" s="2" t="s">
        <v>21</v>
      </c>
      <c r="D154" s="2" t="s">
        <v>11</v>
      </c>
      <c r="E154" s="2"/>
      <c r="F154" s="2"/>
      <c r="G154" s="2">
        <v>55.55</v>
      </c>
    </row>
    <row r="155" spans="1:7">
      <c r="A155" s="2" t="s">
        <v>172</v>
      </c>
      <c r="B155" s="3">
        <v>45080</v>
      </c>
      <c r="C155" s="2" t="s">
        <v>13</v>
      </c>
      <c r="D155" s="2" t="s">
        <v>22</v>
      </c>
      <c r="E155" s="2" t="s">
        <v>9</v>
      </c>
      <c r="F155" s="2"/>
      <c r="G155" s="2"/>
    </row>
    <row r="156" spans="1:7">
      <c r="A156" s="2" t="s">
        <v>173</v>
      </c>
      <c r="B156" s="3">
        <v>45081</v>
      </c>
      <c r="C156" s="2" t="s">
        <v>16</v>
      </c>
      <c r="D156" s="2" t="s">
        <v>8</v>
      </c>
      <c r="E156" s="2" t="s">
        <v>14</v>
      </c>
      <c r="F156" s="2"/>
      <c r="G156" s="2"/>
    </row>
    <row r="157" spans="1:7">
      <c r="A157" s="2" t="s">
        <v>174</v>
      </c>
      <c r="B157" s="3">
        <v>45082</v>
      </c>
      <c r="C157" s="2" t="s">
        <v>21</v>
      </c>
      <c r="D157" s="2" t="s">
        <v>11</v>
      </c>
      <c r="E157" s="2" t="s">
        <v>14</v>
      </c>
      <c r="F157" s="2">
        <v>441.54</v>
      </c>
      <c r="G157" s="2">
        <v>-90.37</v>
      </c>
    </row>
    <row r="158" spans="1:7">
      <c r="A158" s="2" t="s">
        <v>175</v>
      </c>
      <c r="B158" s="3">
        <v>45083</v>
      </c>
      <c r="C158" s="2" t="s">
        <v>11</v>
      </c>
      <c r="D158" s="2"/>
      <c r="E158" s="2">
        <v>817.7</v>
      </c>
      <c r="F158" s="2">
        <v>89.09</v>
      </c>
      <c r="G158" s="4"/>
    </row>
    <row r="159" spans="1:7">
      <c r="A159" s="2" t="s">
        <v>176</v>
      </c>
      <c r="B159" s="3">
        <v>45084</v>
      </c>
      <c r="C159" s="2" t="s">
        <v>16</v>
      </c>
      <c r="D159" s="2" t="s">
        <v>11</v>
      </c>
      <c r="E159" s="2"/>
      <c r="F159" s="2"/>
      <c r="G159" s="2"/>
    </row>
    <row r="160" spans="1:7">
      <c r="A160" s="2" t="s">
        <v>177</v>
      </c>
      <c r="B160" s="3">
        <v>45085</v>
      </c>
      <c r="C160" s="2" t="s">
        <v>27</v>
      </c>
      <c r="D160" s="2" t="s">
        <v>11</v>
      </c>
      <c r="E160" s="2" t="s">
        <v>14</v>
      </c>
      <c r="F160" s="2">
        <v>234.44</v>
      </c>
      <c r="G160" s="2"/>
    </row>
    <row r="161" spans="1:7">
      <c r="A161" s="2" t="s">
        <v>178</v>
      </c>
      <c r="B161" s="3">
        <v>45086</v>
      </c>
      <c r="C161" s="2" t="s">
        <v>16</v>
      </c>
      <c r="D161" s="2" t="s">
        <v>11</v>
      </c>
      <c r="E161" s="2" t="s">
        <v>32</v>
      </c>
      <c r="F161" s="2">
        <v>466.21</v>
      </c>
      <c r="G161" s="2"/>
    </row>
    <row r="162" spans="1:7">
      <c r="A162" s="2" t="s">
        <v>179</v>
      </c>
      <c r="B162" s="3">
        <v>45087</v>
      </c>
      <c r="C162" s="2" t="s">
        <v>13</v>
      </c>
      <c r="D162" s="2"/>
      <c r="E162" s="2" t="s">
        <v>32</v>
      </c>
      <c r="F162" s="2">
        <v>978.07</v>
      </c>
      <c r="G162" s="2"/>
    </row>
    <row r="163" spans="1:7">
      <c r="A163" s="2" t="s">
        <v>180</v>
      </c>
      <c r="B163" s="3">
        <v>45088</v>
      </c>
      <c r="C163" s="2" t="s">
        <v>22</v>
      </c>
      <c r="D163" s="2" t="s">
        <v>24</v>
      </c>
      <c r="E163" s="2"/>
      <c r="F163" s="2"/>
      <c r="G163" s="4"/>
    </row>
    <row r="164" spans="1:7">
      <c r="A164" s="2" t="s">
        <v>181</v>
      </c>
      <c r="B164" s="3">
        <v>45089</v>
      </c>
      <c r="C164" s="2" t="s">
        <v>16</v>
      </c>
      <c r="D164" s="2"/>
      <c r="E164" s="2" t="s">
        <v>9</v>
      </c>
      <c r="F164" s="2">
        <v>955.91</v>
      </c>
      <c r="G164" s="2"/>
    </row>
    <row r="165" spans="1:7">
      <c r="A165" s="2" t="s">
        <v>182</v>
      </c>
      <c r="B165" s="3">
        <v>45090</v>
      </c>
      <c r="C165" s="2" t="s">
        <v>13</v>
      </c>
      <c r="D165" s="2" t="s">
        <v>22</v>
      </c>
      <c r="E165" s="2" t="s">
        <v>14</v>
      </c>
      <c r="F165" s="2"/>
      <c r="G165" s="2">
        <v>-83.68</v>
      </c>
    </row>
    <row r="166" spans="1:7">
      <c r="A166" s="2" t="s">
        <v>183</v>
      </c>
      <c r="B166" s="3">
        <v>45091</v>
      </c>
      <c r="C166" s="2" t="s">
        <v>16</v>
      </c>
      <c r="D166" s="2" t="s">
        <v>11</v>
      </c>
      <c r="E166" s="2" t="s">
        <v>18</v>
      </c>
      <c r="F166" s="2"/>
      <c r="G166" s="2"/>
    </row>
    <row r="167" spans="1:7">
      <c r="A167" s="2" t="s">
        <v>184</v>
      </c>
      <c r="B167" s="3">
        <v>45092</v>
      </c>
      <c r="C167" s="2" t="s">
        <v>27</v>
      </c>
      <c r="D167" s="2"/>
      <c r="E167" s="2" t="s">
        <v>9</v>
      </c>
      <c r="F167" s="2"/>
      <c r="G167" s="2">
        <v>-180.51</v>
      </c>
    </row>
    <row r="168" spans="1:7">
      <c r="A168" s="2" t="s">
        <v>185</v>
      </c>
      <c r="B168" s="3">
        <v>45093</v>
      </c>
      <c r="C168" s="2" t="s">
        <v>16</v>
      </c>
      <c r="D168" s="2" t="s">
        <v>22</v>
      </c>
      <c r="E168" s="2" t="s">
        <v>32</v>
      </c>
      <c r="F168" s="2"/>
      <c r="G168" s="2"/>
    </row>
    <row r="169" spans="1:7">
      <c r="A169" s="2" t="s">
        <v>186</v>
      </c>
      <c r="B169" s="3">
        <v>45094</v>
      </c>
      <c r="C169" s="2" t="s">
        <v>16</v>
      </c>
      <c r="D169" s="2" t="s">
        <v>11</v>
      </c>
      <c r="E169" s="2" t="s">
        <v>9</v>
      </c>
      <c r="F169" s="2">
        <v>712.54</v>
      </c>
      <c r="G169" s="2">
        <v>294.64</v>
      </c>
    </row>
    <row r="170" spans="1:7">
      <c r="A170" s="2" t="s">
        <v>187</v>
      </c>
      <c r="B170" s="3">
        <v>45095</v>
      </c>
      <c r="C170" s="2" t="s">
        <v>21</v>
      </c>
      <c r="D170" s="2" t="s">
        <v>11</v>
      </c>
      <c r="E170" s="2" t="s">
        <v>14</v>
      </c>
      <c r="F170" s="2">
        <v>853.1</v>
      </c>
      <c r="G170" s="2"/>
    </row>
    <row r="171" spans="1:7">
      <c r="A171" s="2" t="s">
        <v>188</v>
      </c>
      <c r="B171" s="3">
        <v>45096</v>
      </c>
      <c r="C171" s="2" t="s">
        <v>16</v>
      </c>
      <c r="D171" s="2" t="s">
        <v>8</v>
      </c>
      <c r="E171" s="2" t="s">
        <v>14</v>
      </c>
      <c r="F171" s="2"/>
      <c r="G171" s="2"/>
    </row>
    <row r="172" spans="1:7">
      <c r="A172" s="2" t="s">
        <v>189</v>
      </c>
      <c r="B172" s="3">
        <v>45097</v>
      </c>
      <c r="C172" s="2" t="s">
        <v>16</v>
      </c>
      <c r="D172" s="2" t="s">
        <v>22</v>
      </c>
      <c r="E172" s="2" t="s">
        <v>18</v>
      </c>
      <c r="F172" s="2"/>
      <c r="G172" s="2"/>
    </row>
    <row r="173" spans="1:7">
      <c r="A173" s="2" t="s">
        <v>190</v>
      </c>
      <c r="B173" s="3">
        <v>45098</v>
      </c>
      <c r="C173" s="2" t="s">
        <v>21</v>
      </c>
      <c r="D173" s="2"/>
      <c r="E173" s="2" t="s">
        <v>32</v>
      </c>
      <c r="F173" s="2"/>
      <c r="G173" s="2">
        <v>-61.21</v>
      </c>
    </row>
    <row r="174" spans="1:7">
      <c r="A174" s="2" t="s">
        <v>191</v>
      </c>
      <c r="B174" s="3">
        <v>45099</v>
      </c>
      <c r="C174" s="2" t="s">
        <v>21</v>
      </c>
      <c r="D174" s="2" t="s">
        <v>8</v>
      </c>
      <c r="E174" s="2" t="s">
        <v>18</v>
      </c>
      <c r="F174" s="2">
        <v>535.69000000000005</v>
      </c>
      <c r="G174" s="2"/>
    </row>
    <row r="175" spans="1:7">
      <c r="A175" s="2" t="s">
        <v>192</v>
      </c>
      <c r="B175" s="3">
        <v>45100</v>
      </c>
      <c r="C175" s="2" t="s">
        <v>13</v>
      </c>
      <c r="D175" s="2" t="s">
        <v>8</v>
      </c>
      <c r="E175" s="2"/>
      <c r="F175" s="2">
        <v>175.19</v>
      </c>
      <c r="G175" s="4"/>
    </row>
    <row r="176" spans="1:7">
      <c r="A176" s="2" t="s">
        <v>193</v>
      </c>
      <c r="B176" s="3">
        <v>45101</v>
      </c>
      <c r="C176" s="2" t="s">
        <v>27</v>
      </c>
      <c r="D176" s="2" t="s">
        <v>8</v>
      </c>
      <c r="E176" s="2" t="s">
        <v>14</v>
      </c>
      <c r="F176" s="2">
        <v>540.15</v>
      </c>
      <c r="G176" s="2">
        <v>-71.349999999999994</v>
      </c>
    </row>
    <row r="177" spans="1:7">
      <c r="A177" s="2" t="s">
        <v>194</v>
      </c>
      <c r="B177" s="3">
        <v>45102</v>
      </c>
      <c r="C177" s="2" t="s">
        <v>16</v>
      </c>
      <c r="D177" s="2" t="s">
        <v>22</v>
      </c>
      <c r="E177" s="2" t="s">
        <v>14</v>
      </c>
      <c r="F177" s="2">
        <v>54.33</v>
      </c>
      <c r="G177" s="2"/>
    </row>
    <row r="178" spans="1:7">
      <c r="A178" s="2" t="s">
        <v>195</v>
      </c>
      <c r="B178" s="3">
        <v>45103</v>
      </c>
      <c r="C178" s="2" t="s">
        <v>22</v>
      </c>
      <c r="D178" s="2" t="s">
        <v>18</v>
      </c>
      <c r="E178" s="2"/>
      <c r="F178" s="2"/>
      <c r="G178" s="4"/>
    </row>
    <row r="179" spans="1:7">
      <c r="A179" s="2" t="s">
        <v>196</v>
      </c>
      <c r="B179" s="3">
        <v>45104</v>
      </c>
      <c r="C179" s="2" t="s">
        <v>8</v>
      </c>
      <c r="D179" s="2" t="s">
        <v>9</v>
      </c>
      <c r="E179" s="2">
        <v>405.48</v>
      </c>
      <c r="F179" s="2">
        <v>162.07</v>
      </c>
      <c r="G179" s="4"/>
    </row>
    <row r="180" spans="1:7">
      <c r="A180" s="2" t="s">
        <v>197</v>
      </c>
      <c r="B180" s="3">
        <v>45105</v>
      </c>
      <c r="C180" s="2" t="s">
        <v>16</v>
      </c>
      <c r="D180" s="2" t="s">
        <v>22</v>
      </c>
      <c r="E180" s="2" t="s">
        <v>32</v>
      </c>
      <c r="F180" s="2"/>
      <c r="G180" s="2"/>
    </row>
    <row r="181" spans="1:7">
      <c r="A181" s="2" t="s">
        <v>198</v>
      </c>
      <c r="B181" s="3">
        <v>45106</v>
      </c>
      <c r="C181" s="2" t="s">
        <v>13</v>
      </c>
      <c r="D181" s="2" t="s">
        <v>22</v>
      </c>
      <c r="E181" s="2" t="s">
        <v>14</v>
      </c>
      <c r="F181" s="2">
        <v>293.43</v>
      </c>
      <c r="G181" s="2"/>
    </row>
    <row r="182" spans="1:7">
      <c r="A182" s="2" t="s">
        <v>199</v>
      </c>
      <c r="B182" s="3">
        <v>45107</v>
      </c>
      <c r="C182" s="2" t="s">
        <v>21</v>
      </c>
      <c r="D182" s="2"/>
      <c r="E182" s="2" t="s">
        <v>32</v>
      </c>
      <c r="F182" s="2">
        <v>797.89</v>
      </c>
      <c r="G182" s="2">
        <v>164.77</v>
      </c>
    </row>
    <row r="183" spans="1:7">
      <c r="A183" s="2" t="s">
        <v>200</v>
      </c>
      <c r="B183" s="3">
        <v>45108</v>
      </c>
      <c r="C183" s="2" t="s">
        <v>21</v>
      </c>
      <c r="D183" s="2"/>
      <c r="E183" s="2" t="s">
        <v>32</v>
      </c>
      <c r="F183" s="2">
        <v>539.13</v>
      </c>
      <c r="G183" s="2">
        <v>59.92</v>
      </c>
    </row>
    <row r="184" spans="1:7">
      <c r="A184" s="2" t="s">
        <v>201</v>
      </c>
      <c r="B184" s="3">
        <v>45109</v>
      </c>
      <c r="C184" s="2" t="s">
        <v>21</v>
      </c>
      <c r="D184" s="2" t="s">
        <v>8</v>
      </c>
      <c r="E184" s="2" t="s">
        <v>9</v>
      </c>
      <c r="F184" s="2"/>
      <c r="G184" s="2">
        <v>81.41</v>
      </c>
    </row>
    <row r="185" spans="1:7">
      <c r="A185" s="2" t="s">
        <v>202</v>
      </c>
      <c r="B185" s="3">
        <v>45110</v>
      </c>
      <c r="C185" s="2" t="s">
        <v>11</v>
      </c>
      <c r="D185" s="2" t="s">
        <v>9</v>
      </c>
      <c r="E185" s="2">
        <v>858.76</v>
      </c>
      <c r="F185" s="2">
        <v>161.21</v>
      </c>
      <c r="G185" s="4"/>
    </row>
    <row r="186" spans="1:7">
      <c r="A186" s="2" t="s">
        <v>203</v>
      </c>
      <c r="B186" s="3">
        <v>45111</v>
      </c>
      <c r="C186" s="2" t="s">
        <v>21</v>
      </c>
      <c r="D186" s="2" t="s">
        <v>22</v>
      </c>
      <c r="E186" s="2" t="s">
        <v>9</v>
      </c>
      <c r="F186" s="2"/>
      <c r="G186" s="2">
        <v>-142.30000000000001</v>
      </c>
    </row>
    <row r="187" spans="1:7">
      <c r="A187" s="2" t="s">
        <v>204</v>
      </c>
      <c r="B187" s="3">
        <v>45112</v>
      </c>
      <c r="C187" s="2" t="s">
        <v>8</v>
      </c>
      <c r="D187" s="2" t="s">
        <v>24</v>
      </c>
      <c r="E187" s="2">
        <v>537.15</v>
      </c>
      <c r="F187" s="2">
        <v>-69.8</v>
      </c>
      <c r="G187" s="4"/>
    </row>
    <row r="188" spans="1:7">
      <c r="A188" s="2" t="s">
        <v>205</v>
      </c>
      <c r="B188" s="3">
        <v>45113</v>
      </c>
      <c r="C188" s="2" t="s">
        <v>21</v>
      </c>
      <c r="D188" s="2" t="s">
        <v>8</v>
      </c>
      <c r="E188" s="2" t="s">
        <v>14</v>
      </c>
      <c r="F188" s="2">
        <v>192.35</v>
      </c>
      <c r="G188" s="2">
        <v>-7.03</v>
      </c>
    </row>
    <row r="189" spans="1:7">
      <c r="A189" s="2" t="s">
        <v>206</v>
      </c>
      <c r="B189" s="3">
        <v>45114</v>
      </c>
      <c r="C189" s="2" t="s">
        <v>27</v>
      </c>
      <c r="D189" s="2" t="s">
        <v>8</v>
      </c>
      <c r="E189" s="2" t="s">
        <v>32</v>
      </c>
      <c r="F189" s="2">
        <v>635.85</v>
      </c>
      <c r="G189" s="2"/>
    </row>
    <row r="190" spans="1:7">
      <c r="A190" s="2" t="s">
        <v>207</v>
      </c>
      <c r="B190" s="3">
        <v>45115</v>
      </c>
      <c r="C190" s="2" t="s">
        <v>11</v>
      </c>
      <c r="D190" s="2" t="s">
        <v>18</v>
      </c>
      <c r="E190" s="2"/>
      <c r="F190" s="2"/>
      <c r="G190" s="4"/>
    </row>
    <row r="191" spans="1:7">
      <c r="A191" s="2" t="s">
        <v>208</v>
      </c>
      <c r="B191" s="3">
        <v>45116</v>
      </c>
      <c r="C191" s="2" t="s">
        <v>27</v>
      </c>
      <c r="D191" s="2" t="s">
        <v>11</v>
      </c>
      <c r="E191" s="2" t="s">
        <v>14</v>
      </c>
      <c r="F191" s="2">
        <v>155.44</v>
      </c>
      <c r="G191" s="2"/>
    </row>
    <row r="192" spans="1:7">
      <c r="A192" s="2" t="s">
        <v>209</v>
      </c>
      <c r="B192" s="3">
        <v>45117</v>
      </c>
      <c r="C192" s="2" t="s">
        <v>13</v>
      </c>
      <c r="D192" s="2"/>
      <c r="E192" s="2" t="s">
        <v>24</v>
      </c>
      <c r="F192" s="2"/>
      <c r="G192" s="2"/>
    </row>
    <row r="193" spans="1:7">
      <c r="A193" s="2" t="s">
        <v>210</v>
      </c>
      <c r="B193" s="3">
        <v>45118</v>
      </c>
      <c r="C193" s="2" t="s">
        <v>13</v>
      </c>
      <c r="D193" s="2"/>
      <c r="E193" s="2" t="s">
        <v>9</v>
      </c>
      <c r="F193" s="2">
        <v>382.82</v>
      </c>
      <c r="G193" s="2"/>
    </row>
    <row r="194" spans="1:7">
      <c r="A194" s="2" t="s">
        <v>211</v>
      </c>
      <c r="B194" s="3">
        <v>45119</v>
      </c>
      <c r="C194" s="2" t="s">
        <v>22</v>
      </c>
      <c r="D194" s="2" t="s">
        <v>24</v>
      </c>
      <c r="E194" s="2"/>
      <c r="F194" s="2"/>
      <c r="G194" s="4"/>
    </row>
    <row r="195" spans="1:7">
      <c r="A195" s="2" t="s">
        <v>212</v>
      </c>
      <c r="B195" s="3">
        <v>45120</v>
      </c>
      <c r="C195" s="2" t="s">
        <v>27</v>
      </c>
      <c r="D195" s="2" t="s">
        <v>8</v>
      </c>
      <c r="E195" s="2" t="s">
        <v>14</v>
      </c>
      <c r="F195" s="2"/>
      <c r="G195" s="2">
        <v>-11.34</v>
      </c>
    </row>
    <row r="196" spans="1:7">
      <c r="A196" s="2" t="s">
        <v>213</v>
      </c>
      <c r="B196" s="3">
        <v>45121</v>
      </c>
      <c r="C196" s="2" t="s">
        <v>11</v>
      </c>
      <c r="D196" s="2" t="s">
        <v>32</v>
      </c>
      <c r="E196" s="2"/>
      <c r="F196" s="2">
        <v>73.14</v>
      </c>
      <c r="G196" s="4"/>
    </row>
    <row r="197" spans="1:7">
      <c r="A197" s="2" t="s">
        <v>214</v>
      </c>
      <c r="B197" s="3">
        <v>45122</v>
      </c>
      <c r="C197" s="2" t="s">
        <v>16</v>
      </c>
      <c r="D197" s="2" t="s">
        <v>8</v>
      </c>
      <c r="E197" s="2"/>
      <c r="F197" s="2">
        <v>115.37</v>
      </c>
      <c r="G197" s="4"/>
    </row>
    <row r="198" spans="1:7">
      <c r="A198" s="2" t="s">
        <v>215</v>
      </c>
      <c r="B198" s="3">
        <v>45123</v>
      </c>
      <c r="C198" s="2" t="s">
        <v>13</v>
      </c>
      <c r="D198" s="2" t="s">
        <v>11</v>
      </c>
      <c r="E198" s="2"/>
      <c r="F198" s="2">
        <v>154.04</v>
      </c>
      <c r="G198" s="2">
        <v>267.73</v>
      </c>
    </row>
    <row r="199" spans="1:7">
      <c r="A199" s="2" t="s">
        <v>216</v>
      </c>
      <c r="B199" s="3">
        <v>45124</v>
      </c>
      <c r="C199" s="2" t="s">
        <v>22</v>
      </c>
      <c r="D199" s="2" t="s">
        <v>24</v>
      </c>
      <c r="E199" s="2"/>
      <c r="F199" s="2">
        <v>149.04</v>
      </c>
      <c r="G199" s="4"/>
    </row>
    <row r="200" spans="1:7">
      <c r="A200" s="2" t="s">
        <v>217</v>
      </c>
      <c r="B200" s="3">
        <v>45125</v>
      </c>
      <c r="C200" s="2" t="s">
        <v>21</v>
      </c>
      <c r="D200" s="2"/>
      <c r="E200" s="2"/>
      <c r="F200" s="2">
        <v>590.83000000000004</v>
      </c>
      <c r="G200" s="2">
        <v>-71.150000000000006</v>
      </c>
    </row>
    <row r="201" spans="1:7">
      <c r="A201" s="2" t="s">
        <v>218</v>
      </c>
      <c r="B201" s="3">
        <v>45126</v>
      </c>
      <c r="C201" s="2" t="s">
        <v>21</v>
      </c>
      <c r="D201" s="2"/>
      <c r="E201" s="2" t="s">
        <v>14</v>
      </c>
      <c r="F201" s="2">
        <v>390.2</v>
      </c>
      <c r="G201" s="2"/>
    </row>
    <row r="202" spans="1:7">
      <c r="A202" s="2" t="s">
        <v>219</v>
      </c>
      <c r="B202" s="3">
        <v>45127</v>
      </c>
      <c r="C202" s="2" t="s">
        <v>16</v>
      </c>
      <c r="D202" s="2" t="s">
        <v>11</v>
      </c>
      <c r="E202" s="2" t="s">
        <v>24</v>
      </c>
      <c r="F202" s="2"/>
      <c r="G202" s="2">
        <v>23.04</v>
      </c>
    </row>
    <row r="203" spans="1:7">
      <c r="A203" s="2" t="s">
        <v>220</v>
      </c>
      <c r="B203" s="3">
        <v>45128</v>
      </c>
      <c r="C203" s="2" t="s">
        <v>21</v>
      </c>
      <c r="D203" s="2" t="s">
        <v>22</v>
      </c>
      <c r="E203" s="2" t="s">
        <v>24</v>
      </c>
      <c r="F203" s="2"/>
      <c r="G203" s="2"/>
    </row>
    <row r="204" spans="1:7">
      <c r="A204" s="2" t="s">
        <v>221</v>
      </c>
      <c r="B204" s="3">
        <v>45129</v>
      </c>
      <c r="C204" s="2" t="s">
        <v>21</v>
      </c>
      <c r="D204" s="2"/>
      <c r="E204" s="2" t="s">
        <v>18</v>
      </c>
      <c r="F204" s="2">
        <v>584.27</v>
      </c>
      <c r="G204" s="2"/>
    </row>
    <row r="205" spans="1:7">
      <c r="A205" s="2" t="s">
        <v>222</v>
      </c>
      <c r="B205" s="3">
        <v>45130</v>
      </c>
      <c r="C205" s="2" t="s">
        <v>27</v>
      </c>
      <c r="D205" s="2" t="s">
        <v>8</v>
      </c>
      <c r="E205" s="2" t="s">
        <v>14</v>
      </c>
      <c r="F205" s="2">
        <v>163.15</v>
      </c>
      <c r="G205" s="2">
        <v>294.70999999999998</v>
      </c>
    </row>
    <row r="206" spans="1:7">
      <c r="A206" s="2" t="s">
        <v>223</v>
      </c>
      <c r="B206" s="3">
        <v>45131</v>
      </c>
      <c r="C206" s="2" t="s">
        <v>16</v>
      </c>
      <c r="D206" s="2" t="s">
        <v>8</v>
      </c>
      <c r="E206" s="2" t="s">
        <v>32</v>
      </c>
      <c r="F206" s="2">
        <v>311.01</v>
      </c>
      <c r="G206" s="2"/>
    </row>
    <row r="207" spans="1:7">
      <c r="A207" s="2" t="s">
        <v>224</v>
      </c>
      <c r="B207" s="3">
        <v>45132</v>
      </c>
      <c r="C207" s="2" t="s">
        <v>13</v>
      </c>
      <c r="D207" s="2" t="s">
        <v>22</v>
      </c>
      <c r="E207" s="2"/>
      <c r="F207" s="2">
        <v>516.64</v>
      </c>
      <c r="G207" s="2">
        <v>81.95</v>
      </c>
    </row>
    <row r="208" spans="1:7">
      <c r="A208" s="2" t="s">
        <v>225</v>
      </c>
      <c r="B208" s="3">
        <v>45133</v>
      </c>
      <c r="C208" s="2" t="s">
        <v>27</v>
      </c>
      <c r="D208" s="2" t="s">
        <v>11</v>
      </c>
      <c r="E208" s="2" t="s">
        <v>32</v>
      </c>
      <c r="F208" s="2">
        <v>747.79</v>
      </c>
      <c r="G208" s="2"/>
    </row>
    <row r="209" spans="1:7">
      <c r="A209" s="2" t="s">
        <v>226</v>
      </c>
      <c r="B209" s="3">
        <v>45134</v>
      </c>
      <c r="C209" s="2" t="s">
        <v>21</v>
      </c>
      <c r="D209" s="2" t="s">
        <v>8</v>
      </c>
      <c r="E209" s="2" t="s">
        <v>32</v>
      </c>
      <c r="F209" s="2">
        <v>704.92</v>
      </c>
      <c r="G209" s="2">
        <v>239.99</v>
      </c>
    </row>
    <row r="210" spans="1:7">
      <c r="A210" s="2" t="s">
        <v>227</v>
      </c>
      <c r="B210" s="3">
        <v>45135</v>
      </c>
      <c r="C210" s="2" t="s">
        <v>13</v>
      </c>
      <c r="D210" s="2" t="s">
        <v>11</v>
      </c>
      <c r="E210" s="2"/>
      <c r="F210" s="2"/>
      <c r="G210" s="2">
        <v>192.91</v>
      </c>
    </row>
    <row r="211" spans="1:7">
      <c r="A211" s="2" t="s">
        <v>228</v>
      </c>
      <c r="B211" s="3">
        <v>45136</v>
      </c>
      <c r="C211" s="2" t="s">
        <v>27</v>
      </c>
      <c r="D211" s="2" t="s">
        <v>22</v>
      </c>
      <c r="E211" s="2" t="s">
        <v>24</v>
      </c>
      <c r="F211" s="2">
        <v>561.48</v>
      </c>
      <c r="G211" s="2"/>
    </row>
    <row r="212" spans="1:7">
      <c r="A212" s="2" t="s">
        <v>229</v>
      </c>
      <c r="B212" s="3">
        <v>45137</v>
      </c>
      <c r="C212" s="2" t="s">
        <v>16</v>
      </c>
      <c r="D212" s="2" t="s">
        <v>8</v>
      </c>
      <c r="E212" s="2" t="s">
        <v>9</v>
      </c>
      <c r="F212" s="2">
        <v>399.75</v>
      </c>
      <c r="G212" s="2"/>
    </row>
    <row r="213" spans="1:7">
      <c r="A213" s="2" t="s">
        <v>230</v>
      </c>
      <c r="B213" s="3">
        <v>45138</v>
      </c>
      <c r="C213" s="2" t="s">
        <v>13</v>
      </c>
      <c r="D213" s="2"/>
      <c r="E213" s="2" t="s">
        <v>32</v>
      </c>
      <c r="F213" s="2">
        <v>374.78</v>
      </c>
      <c r="G213" s="2"/>
    </row>
    <row r="214" spans="1:7">
      <c r="A214" s="2" t="s">
        <v>231</v>
      </c>
      <c r="B214" s="3">
        <v>45139</v>
      </c>
      <c r="C214" s="2"/>
      <c r="D214" s="2" t="s">
        <v>9</v>
      </c>
      <c r="E214" s="2">
        <v>358.45</v>
      </c>
      <c r="F214" s="2"/>
      <c r="G214" s="4"/>
    </row>
    <row r="215" spans="1:7">
      <c r="A215" s="2" t="s">
        <v>232</v>
      </c>
      <c r="B215" s="3">
        <v>45140</v>
      </c>
      <c r="C215" s="2" t="s">
        <v>16</v>
      </c>
      <c r="D215" s="2" t="s">
        <v>11</v>
      </c>
      <c r="E215" s="2" t="s">
        <v>24</v>
      </c>
      <c r="F215" s="2"/>
      <c r="G215" s="2"/>
    </row>
    <row r="216" spans="1:7">
      <c r="A216" s="2" t="s">
        <v>233</v>
      </c>
      <c r="B216" s="3">
        <v>45141</v>
      </c>
      <c r="C216" s="2" t="s">
        <v>22</v>
      </c>
      <c r="D216" s="2" t="s">
        <v>32</v>
      </c>
      <c r="E216" s="2">
        <v>359.95</v>
      </c>
      <c r="F216" s="2"/>
      <c r="G216" s="4"/>
    </row>
    <row r="217" spans="1:7">
      <c r="A217" s="2" t="s">
        <v>234</v>
      </c>
      <c r="B217" s="3">
        <v>45142</v>
      </c>
      <c r="C217" s="2" t="s">
        <v>21</v>
      </c>
      <c r="D217" s="2"/>
      <c r="E217" s="2" t="s">
        <v>32</v>
      </c>
      <c r="F217" s="2">
        <v>684.76</v>
      </c>
      <c r="G217" s="2"/>
    </row>
    <row r="218" spans="1:7">
      <c r="A218" s="2" t="s">
        <v>235</v>
      </c>
      <c r="B218" s="3">
        <v>45143</v>
      </c>
      <c r="C218" s="2" t="s">
        <v>13</v>
      </c>
      <c r="D218" s="2" t="s">
        <v>22</v>
      </c>
      <c r="E218" s="2" t="s">
        <v>24</v>
      </c>
      <c r="F218" s="2"/>
      <c r="G218" s="2"/>
    </row>
    <row r="219" spans="1:7">
      <c r="A219" s="2" t="s">
        <v>236</v>
      </c>
      <c r="B219" s="3">
        <v>45144</v>
      </c>
      <c r="C219" s="2" t="s">
        <v>21</v>
      </c>
      <c r="D219" s="2" t="s">
        <v>22</v>
      </c>
      <c r="E219" s="2"/>
      <c r="F219" s="2">
        <v>199.33</v>
      </c>
      <c r="G219" s="2">
        <v>-93.45</v>
      </c>
    </row>
    <row r="220" spans="1:7">
      <c r="A220" s="2" t="s">
        <v>237</v>
      </c>
      <c r="B220" s="3">
        <v>45145</v>
      </c>
      <c r="C220" s="2" t="s">
        <v>16</v>
      </c>
      <c r="D220" s="2" t="s">
        <v>8</v>
      </c>
      <c r="E220" s="2" t="s">
        <v>24</v>
      </c>
      <c r="F220" s="2">
        <v>175.55</v>
      </c>
      <c r="G220" s="2">
        <v>279.93</v>
      </c>
    </row>
    <row r="221" spans="1:7">
      <c r="A221" s="2" t="s">
        <v>238</v>
      </c>
      <c r="B221" s="3">
        <v>45146</v>
      </c>
      <c r="C221" s="2" t="s">
        <v>13</v>
      </c>
      <c r="D221" s="2" t="s">
        <v>11</v>
      </c>
      <c r="E221" s="2" t="s">
        <v>32</v>
      </c>
      <c r="F221" s="2"/>
      <c r="G221" s="2"/>
    </row>
    <row r="222" spans="1:7">
      <c r="A222" s="2" t="s">
        <v>239</v>
      </c>
      <c r="B222" s="3">
        <v>45147</v>
      </c>
      <c r="C222" s="2" t="s">
        <v>13</v>
      </c>
      <c r="D222" s="2" t="s">
        <v>8</v>
      </c>
      <c r="E222" s="2" t="s">
        <v>14</v>
      </c>
      <c r="F222" s="2">
        <v>254.84</v>
      </c>
      <c r="G222" s="2">
        <v>-123.5</v>
      </c>
    </row>
    <row r="223" spans="1:7">
      <c r="A223" s="2" t="s">
        <v>240</v>
      </c>
      <c r="B223" s="3">
        <v>45148</v>
      </c>
      <c r="C223" s="2" t="s">
        <v>13</v>
      </c>
      <c r="D223" s="2" t="s">
        <v>11</v>
      </c>
      <c r="E223" s="2" t="s">
        <v>9</v>
      </c>
      <c r="F223" s="2">
        <v>271.73</v>
      </c>
      <c r="G223" s="2">
        <v>87.01</v>
      </c>
    </row>
    <row r="224" spans="1:7">
      <c r="A224" s="2" t="s">
        <v>241</v>
      </c>
      <c r="B224" s="3">
        <v>45149</v>
      </c>
      <c r="C224" s="2" t="s">
        <v>13</v>
      </c>
      <c r="D224" s="2" t="s">
        <v>8</v>
      </c>
      <c r="E224" s="2" t="s">
        <v>14</v>
      </c>
      <c r="F224" s="2"/>
      <c r="G224" s="2">
        <v>224.45</v>
      </c>
    </row>
    <row r="225" spans="1:7">
      <c r="A225" s="2" t="s">
        <v>242</v>
      </c>
      <c r="B225" s="3">
        <v>45150</v>
      </c>
      <c r="C225" s="2" t="s">
        <v>21</v>
      </c>
      <c r="D225" s="2" t="s">
        <v>8</v>
      </c>
      <c r="E225" s="2" t="s">
        <v>32</v>
      </c>
      <c r="F225" s="2"/>
      <c r="G225" s="2">
        <v>160.12</v>
      </c>
    </row>
    <row r="226" spans="1:7">
      <c r="A226" s="2" t="s">
        <v>243</v>
      </c>
      <c r="B226" s="3">
        <v>45151</v>
      </c>
      <c r="C226" s="2" t="s">
        <v>13</v>
      </c>
      <c r="D226" s="2" t="s">
        <v>8</v>
      </c>
      <c r="E226" s="2"/>
      <c r="F226" s="2">
        <v>270</v>
      </c>
      <c r="G226" s="4"/>
    </row>
    <row r="227" spans="1:7">
      <c r="A227" s="2" t="s">
        <v>244</v>
      </c>
      <c r="B227" s="3">
        <v>45152</v>
      </c>
      <c r="C227" s="2" t="s">
        <v>22</v>
      </c>
      <c r="D227" s="2" t="s">
        <v>32</v>
      </c>
      <c r="E227" s="2">
        <v>211.75</v>
      </c>
      <c r="F227" s="2"/>
      <c r="G227" s="4"/>
    </row>
    <row r="228" spans="1:7">
      <c r="A228" s="2" t="s">
        <v>245</v>
      </c>
      <c r="B228" s="3">
        <v>45153</v>
      </c>
      <c r="C228" s="2" t="s">
        <v>16</v>
      </c>
      <c r="D228" s="2" t="s">
        <v>11</v>
      </c>
      <c r="E228" s="2" t="s">
        <v>24</v>
      </c>
      <c r="F228" s="2"/>
      <c r="G228" s="2">
        <v>-199.18</v>
      </c>
    </row>
    <row r="229" spans="1:7">
      <c r="A229" s="2" t="s">
        <v>246</v>
      </c>
      <c r="B229" s="3">
        <v>45154</v>
      </c>
      <c r="C229" s="2" t="s">
        <v>13</v>
      </c>
      <c r="D229" s="2" t="s">
        <v>11</v>
      </c>
      <c r="E229" s="2" t="s">
        <v>24</v>
      </c>
      <c r="F229" s="2">
        <v>555.42999999999995</v>
      </c>
      <c r="G229" s="2"/>
    </row>
    <row r="230" spans="1:7">
      <c r="A230" s="2" t="s">
        <v>247</v>
      </c>
      <c r="B230" s="3">
        <v>45155</v>
      </c>
      <c r="C230" s="2" t="s">
        <v>8</v>
      </c>
      <c r="D230" s="2">
        <v>210.91</v>
      </c>
      <c r="E230" s="2">
        <v>-120.51</v>
      </c>
      <c r="F230" s="4"/>
      <c r="G230" s="4"/>
    </row>
    <row r="231" spans="1:7">
      <c r="A231" s="2" t="s">
        <v>248</v>
      </c>
      <c r="B231" s="3">
        <v>45156</v>
      </c>
      <c r="C231" s="2" t="s">
        <v>13</v>
      </c>
      <c r="D231" s="2"/>
      <c r="E231" s="2" t="s">
        <v>24</v>
      </c>
      <c r="F231" s="2">
        <v>489.08</v>
      </c>
      <c r="G231" s="2"/>
    </row>
    <row r="232" spans="1:7">
      <c r="A232" s="2" t="s">
        <v>249</v>
      </c>
      <c r="B232" s="3">
        <v>45157</v>
      </c>
      <c r="C232" s="2"/>
      <c r="D232" s="2" t="s">
        <v>32</v>
      </c>
      <c r="E232" s="2">
        <v>129.93</v>
      </c>
      <c r="F232" s="2"/>
      <c r="G232" s="4"/>
    </row>
    <row r="233" spans="1:7">
      <c r="A233" s="2" t="s">
        <v>250</v>
      </c>
      <c r="B233" s="3">
        <v>45158</v>
      </c>
      <c r="C233" s="2" t="s">
        <v>13</v>
      </c>
      <c r="D233" s="2" t="s">
        <v>22</v>
      </c>
      <c r="E233" s="2" t="s">
        <v>18</v>
      </c>
      <c r="F233" s="2"/>
      <c r="G233" s="2"/>
    </row>
    <row r="234" spans="1:7">
      <c r="A234" s="2" t="s">
        <v>251</v>
      </c>
      <c r="B234" s="3">
        <v>45159</v>
      </c>
      <c r="C234" s="2" t="s">
        <v>8</v>
      </c>
      <c r="D234" s="2" t="s">
        <v>18</v>
      </c>
      <c r="E234" s="2"/>
      <c r="F234" s="2"/>
      <c r="G234" s="4"/>
    </row>
    <row r="235" spans="1:7">
      <c r="A235" s="2" t="s">
        <v>252</v>
      </c>
      <c r="B235" s="3">
        <v>45160</v>
      </c>
      <c r="C235" s="2" t="s">
        <v>16</v>
      </c>
      <c r="D235" s="2" t="s">
        <v>11</v>
      </c>
      <c r="E235" s="2" t="s">
        <v>14</v>
      </c>
      <c r="F235" s="2"/>
      <c r="G235" s="2"/>
    </row>
    <row r="236" spans="1:7">
      <c r="A236" s="2" t="s">
        <v>253</v>
      </c>
      <c r="B236" s="3">
        <v>45161</v>
      </c>
      <c r="C236" s="2" t="s">
        <v>21</v>
      </c>
      <c r="D236" s="2" t="s">
        <v>11</v>
      </c>
      <c r="E236" s="2" t="s">
        <v>18</v>
      </c>
      <c r="F236" s="2">
        <v>181.44</v>
      </c>
      <c r="G236" s="2"/>
    </row>
    <row r="237" spans="1:7">
      <c r="A237" s="2" t="s">
        <v>254</v>
      </c>
      <c r="B237" s="3">
        <v>45162</v>
      </c>
      <c r="C237" s="2" t="s">
        <v>8</v>
      </c>
      <c r="D237" s="2" t="s">
        <v>32</v>
      </c>
      <c r="E237" s="2">
        <v>874.76</v>
      </c>
      <c r="F237" s="2">
        <v>136.77000000000001</v>
      </c>
      <c r="G237" s="4"/>
    </row>
    <row r="238" spans="1:7">
      <c r="A238" s="2" t="s">
        <v>255</v>
      </c>
      <c r="B238" s="3">
        <v>45163</v>
      </c>
      <c r="C238" s="2"/>
      <c r="D238" s="2" t="s">
        <v>18</v>
      </c>
      <c r="E238" s="2">
        <v>117.48</v>
      </c>
      <c r="F238" s="2"/>
      <c r="G238" s="4"/>
    </row>
    <row r="239" spans="1:7">
      <c r="A239" s="2" t="s">
        <v>256</v>
      </c>
      <c r="B239" s="3">
        <v>45164</v>
      </c>
      <c r="C239" s="2" t="s">
        <v>16</v>
      </c>
      <c r="D239" s="2" t="s">
        <v>8</v>
      </c>
      <c r="E239" s="2" t="s">
        <v>32</v>
      </c>
      <c r="F239" s="2">
        <v>862.61</v>
      </c>
      <c r="G239" s="2">
        <v>0.97</v>
      </c>
    </row>
    <row r="240" spans="1:7">
      <c r="A240" s="2" t="s">
        <v>257</v>
      </c>
      <c r="B240" s="3">
        <v>45165</v>
      </c>
      <c r="C240" s="2"/>
      <c r="D240" s="2" t="s">
        <v>24</v>
      </c>
      <c r="E240" s="2">
        <v>674.12</v>
      </c>
      <c r="F240" s="2">
        <v>-179.37</v>
      </c>
      <c r="G240" s="4"/>
    </row>
    <row r="241" spans="1:7">
      <c r="A241" s="2" t="s">
        <v>258</v>
      </c>
      <c r="B241" s="3">
        <v>45166</v>
      </c>
      <c r="C241" s="2" t="s">
        <v>16</v>
      </c>
      <c r="D241" s="2" t="s">
        <v>22</v>
      </c>
      <c r="E241" s="2" t="s">
        <v>18</v>
      </c>
      <c r="F241" s="2">
        <v>414.9</v>
      </c>
      <c r="G241" s="2"/>
    </row>
    <row r="242" spans="1:7">
      <c r="A242" s="2" t="s">
        <v>259</v>
      </c>
      <c r="B242" s="3">
        <v>45167</v>
      </c>
      <c r="C242" s="2" t="s">
        <v>16</v>
      </c>
      <c r="D242" s="2"/>
      <c r="E242" s="2" t="s">
        <v>32</v>
      </c>
      <c r="F242" s="2"/>
      <c r="G242" s="2">
        <v>157.43</v>
      </c>
    </row>
    <row r="243" spans="1:7">
      <c r="A243" s="2" t="s">
        <v>260</v>
      </c>
      <c r="B243" s="3">
        <v>45168</v>
      </c>
      <c r="C243" s="2" t="s">
        <v>27</v>
      </c>
      <c r="D243" s="2" t="s">
        <v>11</v>
      </c>
      <c r="E243" s="2" t="s">
        <v>32</v>
      </c>
      <c r="F243" s="2">
        <v>125.63</v>
      </c>
      <c r="G243" s="2">
        <v>-188.75</v>
      </c>
    </row>
    <row r="244" spans="1:7">
      <c r="A244" s="2" t="s">
        <v>261</v>
      </c>
      <c r="B244" s="3">
        <v>45169</v>
      </c>
      <c r="C244" s="2" t="s">
        <v>16</v>
      </c>
      <c r="D244" s="2" t="s">
        <v>22</v>
      </c>
      <c r="E244" s="2" t="s">
        <v>18</v>
      </c>
      <c r="F244" s="2"/>
      <c r="G244" s="2"/>
    </row>
    <row r="245" spans="1:7">
      <c r="A245" s="2" t="s">
        <v>262</v>
      </c>
      <c r="B245" s="3">
        <v>45170</v>
      </c>
      <c r="C245" s="2" t="s">
        <v>27</v>
      </c>
      <c r="D245" s="2" t="s">
        <v>8</v>
      </c>
      <c r="E245" s="2" t="s">
        <v>14</v>
      </c>
      <c r="F245" s="2"/>
      <c r="G245" s="2">
        <v>152.84</v>
      </c>
    </row>
    <row r="246" spans="1:7">
      <c r="A246" s="2" t="s">
        <v>263</v>
      </c>
      <c r="B246" s="3">
        <v>45171</v>
      </c>
      <c r="C246" s="2" t="s">
        <v>16</v>
      </c>
      <c r="D246" s="2" t="s">
        <v>22</v>
      </c>
      <c r="E246" s="2" t="s">
        <v>9</v>
      </c>
      <c r="F246" s="2">
        <v>891.14</v>
      </c>
      <c r="G246" s="2">
        <v>-81.739999999999995</v>
      </c>
    </row>
    <row r="247" spans="1:7">
      <c r="A247" s="2" t="s">
        <v>264</v>
      </c>
      <c r="B247" s="3">
        <v>45172</v>
      </c>
      <c r="C247" s="2" t="s">
        <v>8</v>
      </c>
      <c r="D247" s="2" t="s">
        <v>14</v>
      </c>
      <c r="E247" s="2">
        <v>330.51</v>
      </c>
      <c r="F247" s="2"/>
      <c r="G247" s="4"/>
    </row>
    <row r="248" spans="1:7">
      <c r="A248" s="2" t="s">
        <v>265</v>
      </c>
      <c r="B248" s="3">
        <v>45173</v>
      </c>
      <c r="C248" s="2" t="s">
        <v>21</v>
      </c>
      <c r="D248" s="2" t="s">
        <v>22</v>
      </c>
      <c r="E248" s="2" t="s">
        <v>14</v>
      </c>
      <c r="F248" s="2">
        <v>895.31</v>
      </c>
      <c r="G248" s="2">
        <v>117.81</v>
      </c>
    </row>
    <row r="249" spans="1:7">
      <c r="A249" s="2" t="s">
        <v>266</v>
      </c>
      <c r="B249" s="3">
        <v>45174</v>
      </c>
      <c r="C249" s="2" t="s">
        <v>21</v>
      </c>
      <c r="D249" s="2"/>
      <c r="E249" s="2" t="s">
        <v>9</v>
      </c>
      <c r="F249" s="2">
        <v>160.88</v>
      </c>
      <c r="G249" s="2"/>
    </row>
    <row r="250" spans="1:7">
      <c r="A250" s="2" t="s">
        <v>267</v>
      </c>
      <c r="B250" s="3">
        <v>45175</v>
      </c>
      <c r="C250" s="2" t="s">
        <v>21</v>
      </c>
      <c r="D250" s="2"/>
      <c r="E250" s="2" t="s">
        <v>9</v>
      </c>
      <c r="F250" s="2"/>
      <c r="G250" s="2">
        <v>-193.31</v>
      </c>
    </row>
    <row r="251" spans="1:7">
      <c r="A251" s="2" t="s">
        <v>268</v>
      </c>
      <c r="B251" s="3">
        <v>45176</v>
      </c>
      <c r="C251" s="2" t="s">
        <v>11</v>
      </c>
      <c r="D251" s="2" t="s">
        <v>14</v>
      </c>
      <c r="E251" s="2">
        <v>725.96</v>
      </c>
      <c r="F251" s="2"/>
      <c r="G251" s="4"/>
    </row>
    <row r="252" spans="1:7">
      <c r="A252" s="2" t="s">
        <v>269</v>
      </c>
      <c r="B252" s="3">
        <v>45177</v>
      </c>
      <c r="C252" s="2" t="s">
        <v>27</v>
      </c>
      <c r="D252" s="2"/>
      <c r="E252" s="2" t="s">
        <v>14</v>
      </c>
      <c r="F252" s="2">
        <v>643.27</v>
      </c>
      <c r="G252" s="2"/>
    </row>
    <row r="253" spans="1:7">
      <c r="A253" s="2" t="s">
        <v>270</v>
      </c>
      <c r="B253" s="3">
        <v>45178</v>
      </c>
      <c r="C253" s="2" t="s">
        <v>8</v>
      </c>
      <c r="D253" s="2">
        <v>739.6</v>
      </c>
      <c r="E253" s="2"/>
      <c r="F253" s="4"/>
      <c r="G253" s="4"/>
    </row>
    <row r="254" spans="1:7">
      <c r="A254" s="2" t="s">
        <v>271</v>
      </c>
      <c r="B254" s="3">
        <v>45179</v>
      </c>
      <c r="C254" s="2" t="s">
        <v>21</v>
      </c>
      <c r="D254" s="2" t="s">
        <v>22</v>
      </c>
      <c r="E254" s="2" t="s">
        <v>24</v>
      </c>
      <c r="F254" s="2">
        <v>512.17999999999995</v>
      </c>
      <c r="G254" s="2"/>
    </row>
    <row r="255" spans="1:7">
      <c r="A255" s="2" t="s">
        <v>272</v>
      </c>
      <c r="B255" s="3">
        <v>45180</v>
      </c>
      <c r="C255" s="2" t="s">
        <v>16</v>
      </c>
      <c r="D255" s="2" t="s">
        <v>8</v>
      </c>
      <c r="E255" s="2" t="s">
        <v>18</v>
      </c>
      <c r="F255" s="2"/>
      <c r="G255" s="2">
        <v>30.92</v>
      </c>
    </row>
    <row r="256" spans="1:7">
      <c r="A256" s="2" t="s">
        <v>273</v>
      </c>
      <c r="B256" s="3">
        <v>45181</v>
      </c>
      <c r="C256" s="2" t="s">
        <v>13</v>
      </c>
      <c r="D256" s="2" t="s">
        <v>22</v>
      </c>
      <c r="E256" s="2" t="s">
        <v>18</v>
      </c>
      <c r="F256" s="2">
        <v>226.78</v>
      </c>
      <c r="G256" s="2">
        <v>207.18</v>
      </c>
    </row>
    <row r="257" spans="1:7">
      <c r="A257" s="2" t="s">
        <v>274</v>
      </c>
      <c r="B257" s="3">
        <v>45182</v>
      </c>
      <c r="C257" s="2" t="s">
        <v>27</v>
      </c>
      <c r="D257" s="2"/>
      <c r="E257" s="2"/>
      <c r="F257" s="2">
        <v>115.79</v>
      </c>
      <c r="G257" s="2"/>
    </row>
    <row r="258" spans="1:7">
      <c r="A258" s="2" t="s">
        <v>275</v>
      </c>
      <c r="B258" s="3">
        <v>45183</v>
      </c>
      <c r="C258" s="2" t="s">
        <v>27</v>
      </c>
      <c r="D258" s="2" t="s">
        <v>11</v>
      </c>
      <c r="E258" s="2" t="s">
        <v>18</v>
      </c>
      <c r="F258" s="2">
        <v>713.65</v>
      </c>
      <c r="G258" s="2">
        <v>258.52999999999997</v>
      </c>
    </row>
    <row r="259" spans="1:7">
      <c r="A259" s="2" t="s">
        <v>276</v>
      </c>
      <c r="B259" s="3">
        <v>45184</v>
      </c>
      <c r="C259" s="2" t="s">
        <v>13</v>
      </c>
      <c r="D259" s="2"/>
      <c r="E259" s="2" t="s">
        <v>9</v>
      </c>
      <c r="F259" s="2">
        <v>192.78</v>
      </c>
      <c r="G259" s="2"/>
    </row>
    <row r="260" spans="1:7">
      <c r="A260" s="2" t="s">
        <v>277</v>
      </c>
      <c r="B260" s="3">
        <v>45185</v>
      </c>
      <c r="C260" s="2" t="s">
        <v>13</v>
      </c>
      <c r="D260" s="2"/>
      <c r="E260" s="2"/>
      <c r="F260" s="2"/>
      <c r="G260" s="2"/>
    </row>
    <row r="261" spans="1:7">
      <c r="A261" s="2" t="s">
        <v>278</v>
      </c>
      <c r="B261" s="3">
        <v>45186</v>
      </c>
      <c r="C261" s="2" t="s">
        <v>27</v>
      </c>
      <c r="D261" s="2"/>
      <c r="E261" s="2" t="s">
        <v>14</v>
      </c>
      <c r="F261" s="2">
        <v>832.73</v>
      </c>
      <c r="G261" s="2"/>
    </row>
    <row r="262" spans="1:7">
      <c r="A262" s="2" t="s">
        <v>279</v>
      </c>
      <c r="B262" s="3">
        <v>45187</v>
      </c>
      <c r="C262" s="2" t="s">
        <v>21</v>
      </c>
      <c r="D262" s="2" t="s">
        <v>8</v>
      </c>
      <c r="E262" s="2" t="s">
        <v>9</v>
      </c>
      <c r="F262" s="2"/>
      <c r="G262" s="2"/>
    </row>
    <row r="263" spans="1:7">
      <c r="A263" s="2" t="s">
        <v>280</v>
      </c>
      <c r="B263" s="3">
        <v>45188</v>
      </c>
      <c r="C263" s="2" t="s">
        <v>27</v>
      </c>
      <c r="D263" s="2" t="s">
        <v>8</v>
      </c>
      <c r="E263" s="2" t="s">
        <v>18</v>
      </c>
      <c r="F263" s="2"/>
      <c r="G263" s="2"/>
    </row>
    <row r="264" spans="1:7">
      <c r="A264" s="2" t="s">
        <v>281</v>
      </c>
      <c r="B264" s="3">
        <v>45189</v>
      </c>
      <c r="C264" s="2" t="s">
        <v>11</v>
      </c>
      <c r="D264" s="2" t="s">
        <v>32</v>
      </c>
      <c r="E264" s="2"/>
      <c r="F264" s="2">
        <v>24.34</v>
      </c>
      <c r="G264" s="4"/>
    </row>
    <row r="265" spans="1:7">
      <c r="A265" s="2" t="s">
        <v>282</v>
      </c>
      <c r="B265" s="3">
        <v>45190</v>
      </c>
      <c r="C265" s="2" t="s">
        <v>16</v>
      </c>
      <c r="D265" s="2"/>
      <c r="E265" s="2" t="s">
        <v>9</v>
      </c>
      <c r="F265" s="2"/>
      <c r="G265" s="2">
        <v>142.59</v>
      </c>
    </row>
    <row r="266" spans="1:7">
      <c r="A266" s="2" t="s">
        <v>283</v>
      </c>
      <c r="B266" s="3">
        <v>45191</v>
      </c>
      <c r="C266" s="2" t="s">
        <v>27</v>
      </c>
      <c r="D266" s="2"/>
      <c r="E266" s="2" t="s">
        <v>18</v>
      </c>
      <c r="F266" s="2"/>
      <c r="G266" s="2">
        <v>18.12</v>
      </c>
    </row>
    <row r="267" spans="1:7">
      <c r="A267" s="2" t="s">
        <v>284</v>
      </c>
      <c r="B267" s="3">
        <v>45192</v>
      </c>
      <c r="C267" s="2" t="s">
        <v>21</v>
      </c>
      <c r="D267" s="2"/>
      <c r="E267" s="2" t="s">
        <v>32</v>
      </c>
      <c r="F267" s="2"/>
      <c r="G267" s="2">
        <v>-98.8</v>
      </c>
    </row>
    <row r="268" spans="1:7">
      <c r="A268" s="2" t="s">
        <v>285</v>
      </c>
      <c r="B268" s="3">
        <v>45193</v>
      </c>
      <c r="C268" s="2" t="s">
        <v>16</v>
      </c>
      <c r="D268" s="2" t="s">
        <v>11</v>
      </c>
      <c r="E268" s="2"/>
      <c r="F268" s="2">
        <v>546.08000000000004</v>
      </c>
      <c r="G268" s="2">
        <v>275.85000000000002</v>
      </c>
    </row>
    <row r="269" spans="1:7">
      <c r="A269" s="2" t="s">
        <v>286</v>
      </c>
      <c r="B269" s="3">
        <v>45194</v>
      </c>
      <c r="C269" s="2" t="s">
        <v>27</v>
      </c>
      <c r="D269" s="2" t="s">
        <v>22</v>
      </c>
      <c r="E269" s="2"/>
      <c r="F269" s="2">
        <v>902.16</v>
      </c>
      <c r="G269" s="2"/>
    </row>
    <row r="270" spans="1:7">
      <c r="A270" s="2" t="s">
        <v>287</v>
      </c>
      <c r="B270" s="3">
        <v>45195</v>
      </c>
      <c r="C270" s="2" t="s">
        <v>13</v>
      </c>
      <c r="D270" s="2" t="s">
        <v>8</v>
      </c>
      <c r="E270" s="2" t="s">
        <v>14</v>
      </c>
      <c r="F270" s="2"/>
      <c r="G270" s="2">
        <v>111.01</v>
      </c>
    </row>
    <row r="271" spans="1:7">
      <c r="A271" s="2" t="s">
        <v>288</v>
      </c>
      <c r="B271" s="3">
        <v>45196</v>
      </c>
      <c r="C271" s="2" t="s">
        <v>13</v>
      </c>
      <c r="D271" s="2" t="s">
        <v>8</v>
      </c>
      <c r="E271" s="2" t="s">
        <v>32</v>
      </c>
      <c r="F271" s="2">
        <v>287.25</v>
      </c>
      <c r="G271" s="2">
        <v>258.56</v>
      </c>
    </row>
    <row r="272" spans="1:7">
      <c r="A272" s="2" t="s">
        <v>289</v>
      </c>
      <c r="B272" s="3">
        <v>45197</v>
      </c>
      <c r="C272" s="2" t="s">
        <v>27</v>
      </c>
      <c r="D272" s="2" t="s">
        <v>22</v>
      </c>
      <c r="E272" s="2" t="s">
        <v>14</v>
      </c>
      <c r="F272" s="2"/>
      <c r="G272" s="2"/>
    </row>
    <row r="273" spans="1:7">
      <c r="A273" s="2" t="s">
        <v>290</v>
      </c>
      <c r="B273" s="3">
        <v>45198</v>
      </c>
      <c r="C273" s="2" t="s">
        <v>16</v>
      </c>
      <c r="D273" s="2" t="s">
        <v>11</v>
      </c>
      <c r="E273" s="2"/>
      <c r="F273" s="2"/>
      <c r="G273" s="2">
        <v>-151.97</v>
      </c>
    </row>
    <row r="274" spans="1:7">
      <c r="A274" s="2" t="s">
        <v>291</v>
      </c>
      <c r="B274" s="3">
        <v>45199</v>
      </c>
      <c r="C274" s="2" t="s">
        <v>21</v>
      </c>
      <c r="D274" s="2" t="s">
        <v>11</v>
      </c>
      <c r="E274" s="2" t="s">
        <v>32</v>
      </c>
      <c r="F274" s="2"/>
      <c r="G274" s="2">
        <v>110.15</v>
      </c>
    </row>
    <row r="275" spans="1:7">
      <c r="A275" s="2" t="s">
        <v>292</v>
      </c>
      <c r="B275" s="3">
        <v>45200</v>
      </c>
      <c r="C275" s="2" t="s">
        <v>16</v>
      </c>
      <c r="D275" s="2" t="s">
        <v>11</v>
      </c>
      <c r="E275" s="2" t="s">
        <v>32</v>
      </c>
      <c r="F275" s="2">
        <v>723.65</v>
      </c>
      <c r="G275" s="2"/>
    </row>
    <row r="276" spans="1:7">
      <c r="A276" s="2" t="s">
        <v>293</v>
      </c>
      <c r="B276" s="3">
        <v>45201</v>
      </c>
      <c r="C276" s="2" t="s">
        <v>27</v>
      </c>
      <c r="D276" s="2"/>
      <c r="E276" s="2" t="s">
        <v>14</v>
      </c>
      <c r="F276" s="2">
        <v>908.79</v>
      </c>
      <c r="G276" s="2">
        <v>220.21</v>
      </c>
    </row>
    <row r="277" spans="1:7">
      <c r="A277" s="2" t="s">
        <v>294</v>
      </c>
      <c r="B277" s="3">
        <v>45202</v>
      </c>
      <c r="C277" s="2" t="s">
        <v>13</v>
      </c>
      <c r="D277" s="2"/>
      <c r="E277" s="2"/>
      <c r="F277" s="2"/>
      <c r="G277" s="2"/>
    </row>
    <row r="278" spans="1:7">
      <c r="A278" s="2" t="s">
        <v>295</v>
      </c>
      <c r="B278" s="3">
        <v>45203</v>
      </c>
      <c r="C278" s="2" t="s">
        <v>11</v>
      </c>
      <c r="D278" s="2" t="s">
        <v>14</v>
      </c>
      <c r="E278" s="2"/>
      <c r="F278" s="2"/>
      <c r="G278" s="4"/>
    </row>
    <row r="279" spans="1:7">
      <c r="A279" s="2" t="s">
        <v>296</v>
      </c>
      <c r="B279" s="3">
        <v>45204</v>
      </c>
      <c r="C279" s="2" t="s">
        <v>16</v>
      </c>
      <c r="D279" s="2"/>
      <c r="E279" s="2" t="s">
        <v>14</v>
      </c>
      <c r="F279" s="2">
        <v>485.71</v>
      </c>
      <c r="G279" s="2">
        <v>-14.23</v>
      </c>
    </row>
    <row r="280" spans="1:7">
      <c r="A280" s="2" t="s">
        <v>297</v>
      </c>
      <c r="B280" s="3">
        <v>45205</v>
      </c>
      <c r="C280" s="2" t="s">
        <v>21</v>
      </c>
      <c r="D280" s="2"/>
      <c r="E280" s="2" t="s">
        <v>32</v>
      </c>
      <c r="F280" s="2"/>
      <c r="G280" s="2">
        <v>285.3</v>
      </c>
    </row>
    <row r="281" spans="1:7">
      <c r="A281" s="2" t="s">
        <v>298</v>
      </c>
      <c r="B281" s="3">
        <v>45206</v>
      </c>
      <c r="C281" s="2" t="s">
        <v>27</v>
      </c>
      <c r="D281" s="2" t="s">
        <v>22</v>
      </c>
      <c r="E281" s="2" t="s">
        <v>18</v>
      </c>
      <c r="F281" s="2"/>
      <c r="G281" s="2"/>
    </row>
    <row r="282" spans="1:7">
      <c r="A282" s="2" t="s">
        <v>299</v>
      </c>
      <c r="B282" s="3">
        <v>45207</v>
      </c>
      <c r="C282" s="2" t="s">
        <v>13</v>
      </c>
      <c r="D282" s="2" t="s">
        <v>8</v>
      </c>
      <c r="E282" s="2" t="s">
        <v>24</v>
      </c>
      <c r="F282" s="2"/>
      <c r="G282" s="2">
        <v>142.30000000000001</v>
      </c>
    </row>
    <row r="283" spans="1:7">
      <c r="A283" s="2" t="s">
        <v>300</v>
      </c>
      <c r="B283" s="3">
        <v>45208</v>
      </c>
      <c r="C283" s="2" t="s">
        <v>16</v>
      </c>
      <c r="D283" s="2" t="s">
        <v>11</v>
      </c>
      <c r="E283" s="2" t="s">
        <v>9</v>
      </c>
      <c r="F283" s="2"/>
      <c r="G283" s="2">
        <v>286.27999999999997</v>
      </c>
    </row>
    <row r="284" spans="1:7">
      <c r="A284" s="2" t="s">
        <v>301</v>
      </c>
      <c r="B284" s="3">
        <v>45209</v>
      </c>
      <c r="C284" s="2" t="s">
        <v>21</v>
      </c>
      <c r="D284" s="2" t="s">
        <v>22</v>
      </c>
      <c r="E284" s="2" t="s">
        <v>9</v>
      </c>
      <c r="F284" s="2">
        <v>926.37</v>
      </c>
      <c r="G284" s="2"/>
    </row>
    <row r="285" spans="1:7">
      <c r="A285" s="2" t="s">
        <v>302</v>
      </c>
      <c r="B285" s="3">
        <v>45210</v>
      </c>
      <c r="C285" s="2" t="s">
        <v>27</v>
      </c>
      <c r="D285" s="2"/>
      <c r="E285" s="2" t="s">
        <v>14</v>
      </c>
      <c r="F285" s="2">
        <v>433.98</v>
      </c>
      <c r="G285" s="2">
        <v>205.09</v>
      </c>
    </row>
    <row r="286" spans="1:7">
      <c r="A286" s="2" t="s">
        <v>303</v>
      </c>
      <c r="B286" s="3">
        <v>45211</v>
      </c>
      <c r="C286" s="2" t="s">
        <v>8</v>
      </c>
      <c r="D286" s="2" t="s">
        <v>32</v>
      </c>
      <c r="E286" s="2"/>
      <c r="F286" s="2"/>
      <c r="G286" s="4"/>
    </row>
    <row r="287" spans="1:7">
      <c r="A287" s="2" t="s">
        <v>304</v>
      </c>
      <c r="B287" s="3">
        <v>45212</v>
      </c>
      <c r="C287" s="2" t="s">
        <v>27</v>
      </c>
      <c r="D287" s="2" t="s">
        <v>8</v>
      </c>
      <c r="E287" s="2" t="s">
        <v>18</v>
      </c>
      <c r="F287" s="2"/>
      <c r="G287" s="2"/>
    </row>
    <row r="288" spans="1:7">
      <c r="A288" s="2" t="s">
        <v>305</v>
      </c>
      <c r="B288" s="3">
        <v>45213</v>
      </c>
      <c r="C288" s="2" t="s">
        <v>27</v>
      </c>
      <c r="D288" s="2" t="s">
        <v>22</v>
      </c>
      <c r="E288" s="2" t="s">
        <v>24</v>
      </c>
      <c r="F288" s="2"/>
      <c r="G288" s="2"/>
    </row>
    <row r="289" spans="1:7">
      <c r="A289" s="2" t="s">
        <v>306</v>
      </c>
      <c r="B289" s="3">
        <v>45214</v>
      </c>
      <c r="C289" s="2" t="s">
        <v>21</v>
      </c>
      <c r="D289" s="2" t="s">
        <v>8</v>
      </c>
      <c r="E289" s="2" t="s">
        <v>14</v>
      </c>
      <c r="F289" s="2"/>
      <c r="G289" s="2">
        <v>-5.58</v>
      </c>
    </row>
    <row r="290" spans="1:7">
      <c r="A290" s="2" t="s">
        <v>307</v>
      </c>
      <c r="B290" s="3">
        <v>45215</v>
      </c>
      <c r="C290" s="2" t="s">
        <v>21</v>
      </c>
      <c r="D290" s="2" t="s">
        <v>8</v>
      </c>
      <c r="E290" s="2" t="s">
        <v>14</v>
      </c>
      <c r="F290" s="2">
        <v>899.36</v>
      </c>
      <c r="G290" s="2"/>
    </row>
    <row r="291" spans="1:7">
      <c r="A291" s="2" t="s">
        <v>308</v>
      </c>
      <c r="B291" s="3">
        <v>45216</v>
      </c>
      <c r="C291" s="2" t="s">
        <v>13</v>
      </c>
      <c r="D291" s="2"/>
      <c r="E291" s="2" t="s">
        <v>14</v>
      </c>
      <c r="F291" s="2"/>
      <c r="G291" s="2">
        <v>276.60000000000002</v>
      </c>
    </row>
    <row r="292" spans="1:7">
      <c r="A292" s="2" t="s">
        <v>309</v>
      </c>
      <c r="B292" s="3">
        <v>45217</v>
      </c>
      <c r="C292" s="2" t="s">
        <v>13</v>
      </c>
      <c r="D292" s="2" t="s">
        <v>8</v>
      </c>
      <c r="E292" s="2" t="s">
        <v>18</v>
      </c>
      <c r="F292" s="2"/>
      <c r="G292" s="2"/>
    </row>
    <row r="293" spans="1:7">
      <c r="A293" s="2" t="s">
        <v>310</v>
      </c>
      <c r="B293" s="3">
        <v>45218</v>
      </c>
      <c r="C293" s="2" t="s">
        <v>27</v>
      </c>
      <c r="D293" s="2"/>
      <c r="E293" s="2" t="s">
        <v>24</v>
      </c>
      <c r="F293" s="2"/>
      <c r="G293" s="2"/>
    </row>
    <row r="294" spans="1:7">
      <c r="A294" s="2" t="s">
        <v>311</v>
      </c>
      <c r="B294" s="3">
        <v>45219</v>
      </c>
      <c r="C294" s="2" t="s">
        <v>13</v>
      </c>
      <c r="D294" s="2" t="s">
        <v>22</v>
      </c>
      <c r="E294" s="2"/>
      <c r="F294" s="2"/>
      <c r="G294" s="2">
        <v>-142.22</v>
      </c>
    </row>
    <row r="295" spans="1:7">
      <c r="A295" s="2" t="s">
        <v>312</v>
      </c>
      <c r="B295" s="3">
        <v>45220</v>
      </c>
      <c r="C295" s="2" t="s">
        <v>21</v>
      </c>
      <c r="D295" s="2"/>
      <c r="E295" s="2" t="s">
        <v>18</v>
      </c>
      <c r="F295" s="2"/>
      <c r="G295" s="2"/>
    </row>
    <row r="296" spans="1:7">
      <c r="A296" s="2" t="s">
        <v>313</v>
      </c>
      <c r="B296" s="3">
        <v>45221</v>
      </c>
      <c r="C296" s="2" t="s">
        <v>13</v>
      </c>
      <c r="D296" s="2" t="s">
        <v>22</v>
      </c>
      <c r="E296" s="2" t="s">
        <v>9</v>
      </c>
      <c r="F296" s="2"/>
      <c r="G296" s="2"/>
    </row>
    <row r="297" spans="1:7">
      <c r="A297" s="2" t="s">
        <v>314</v>
      </c>
      <c r="B297" s="3">
        <v>45222</v>
      </c>
      <c r="C297" s="2" t="s">
        <v>21</v>
      </c>
      <c r="D297" s="2"/>
      <c r="E297" s="2"/>
      <c r="F297" s="2"/>
      <c r="G297" s="2"/>
    </row>
    <row r="298" spans="1:7">
      <c r="A298" s="2" t="s">
        <v>315</v>
      </c>
      <c r="B298" s="3">
        <v>45223</v>
      </c>
      <c r="C298" s="2" t="s">
        <v>16</v>
      </c>
      <c r="D298" s="2" t="s">
        <v>22</v>
      </c>
      <c r="E298" s="2" t="s">
        <v>24</v>
      </c>
      <c r="F298" s="2"/>
      <c r="G298" s="2">
        <v>53.27</v>
      </c>
    </row>
    <row r="299" spans="1:7">
      <c r="A299" s="2" t="s">
        <v>316</v>
      </c>
      <c r="B299" s="3">
        <v>45224</v>
      </c>
      <c r="C299" s="2" t="s">
        <v>11</v>
      </c>
      <c r="D299" s="2" t="s">
        <v>24</v>
      </c>
      <c r="E299" s="2"/>
      <c r="F299" s="2">
        <v>26.88</v>
      </c>
      <c r="G299" s="4"/>
    </row>
    <row r="300" spans="1:7">
      <c r="A300" s="2" t="s">
        <v>317</v>
      </c>
      <c r="B300" s="3">
        <v>45225</v>
      </c>
      <c r="C300" s="2" t="s">
        <v>13</v>
      </c>
      <c r="D300" s="2" t="s">
        <v>8</v>
      </c>
      <c r="E300" s="2" t="s">
        <v>24</v>
      </c>
      <c r="F300" s="2"/>
      <c r="G300" s="2">
        <v>-23.44</v>
      </c>
    </row>
    <row r="301" spans="1:7">
      <c r="A301" s="2" t="s">
        <v>318</v>
      </c>
      <c r="B301" s="3">
        <v>45226</v>
      </c>
      <c r="C301" s="2" t="s">
        <v>11</v>
      </c>
      <c r="D301" s="2" t="s">
        <v>9</v>
      </c>
      <c r="E301" s="2">
        <v>378.82</v>
      </c>
      <c r="F301" s="2">
        <v>6.45</v>
      </c>
      <c r="G301" s="4"/>
    </row>
    <row r="302" spans="1:7">
      <c r="A302" s="2" t="s">
        <v>319</v>
      </c>
      <c r="B302" s="3">
        <v>45227</v>
      </c>
      <c r="C302" s="2" t="s">
        <v>21</v>
      </c>
      <c r="D302" s="2" t="s">
        <v>11</v>
      </c>
      <c r="E302" s="2" t="s">
        <v>32</v>
      </c>
      <c r="F302" s="2"/>
      <c r="G302" s="2">
        <v>10.56</v>
      </c>
    </row>
    <row r="303" spans="1:7">
      <c r="A303" s="2" t="s">
        <v>320</v>
      </c>
      <c r="B303" s="3">
        <v>45228</v>
      </c>
      <c r="C303" s="2" t="s">
        <v>13</v>
      </c>
      <c r="D303" s="2" t="s">
        <v>22</v>
      </c>
      <c r="E303" s="2" t="s">
        <v>24</v>
      </c>
      <c r="F303" s="2"/>
      <c r="G303" s="2">
        <v>156.4</v>
      </c>
    </row>
    <row r="304" spans="1:7">
      <c r="A304" s="2" t="s">
        <v>321</v>
      </c>
      <c r="B304" s="3">
        <v>45229</v>
      </c>
      <c r="C304" s="2" t="s">
        <v>21</v>
      </c>
      <c r="D304" s="2"/>
      <c r="E304" s="2"/>
      <c r="F304" s="2">
        <v>519.33000000000004</v>
      </c>
      <c r="G304" s="2"/>
    </row>
    <row r="305" spans="1:7">
      <c r="A305" s="2" t="s">
        <v>322</v>
      </c>
      <c r="B305" s="3">
        <v>45230</v>
      </c>
      <c r="C305" s="2" t="s">
        <v>16</v>
      </c>
      <c r="D305" s="2" t="s">
        <v>11</v>
      </c>
      <c r="E305" s="2" t="s">
        <v>9</v>
      </c>
      <c r="F305" s="2">
        <v>137.37</v>
      </c>
      <c r="G305" s="2"/>
    </row>
    <row r="306" spans="1:7">
      <c r="A306" s="2" t="s">
        <v>323</v>
      </c>
      <c r="B306" s="3">
        <v>45231</v>
      </c>
      <c r="C306" s="2" t="s">
        <v>8</v>
      </c>
      <c r="D306" s="2" t="s">
        <v>18</v>
      </c>
      <c r="E306" s="2">
        <v>748.97</v>
      </c>
      <c r="F306" s="2">
        <v>173.5</v>
      </c>
      <c r="G306" s="4"/>
    </row>
    <row r="307" spans="1:7">
      <c r="A307" s="2" t="s">
        <v>324</v>
      </c>
      <c r="B307" s="3">
        <v>45232</v>
      </c>
      <c r="C307" s="2" t="s">
        <v>8</v>
      </c>
      <c r="D307" s="2" t="s">
        <v>14</v>
      </c>
      <c r="E307" s="2"/>
      <c r="F307" s="2"/>
      <c r="G307" s="4"/>
    </row>
    <row r="308" spans="1:7">
      <c r="A308" s="2" t="s">
        <v>325</v>
      </c>
      <c r="B308" s="3">
        <v>45233</v>
      </c>
      <c r="C308" s="2" t="s">
        <v>11</v>
      </c>
      <c r="D308" s="2" t="s">
        <v>18</v>
      </c>
      <c r="E308" s="2"/>
      <c r="F308" s="2">
        <v>16.38</v>
      </c>
      <c r="G308" s="4"/>
    </row>
    <row r="309" spans="1:7">
      <c r="A309" s="2" t="s">
        <v>326</v>
      </c>
      <c r="B309" s="3">
        <v>45234</v>
      </c>
      <c r="C309" s="2" t="s">
        <v>13</v>
      </c>
      <c r="D309" s="2" t="s">
        <v>8</v>
      </c>
      <c r="E309" s="2"/>
      <c r="F309" s="2">
        <v>-130.19999999999999</v>
      </c>
      <c r="G309" s="4"/>
    </row>
    <row r="310" spans="1:7">
      <c r="A310" s="2" t="s">
        <v>327</v>
      </c>
      <c r="B310" s="3">
        <v>45235</v>
      </c>
      <c r="C310" s="2" t="s">
        <v>16</v>
      </c>
      <c r="D310" s="2" t="s">
        <v>8</v>
      </c>
      <c r="E310" s="2" t="s">
        <v>14</v>
      </c>
      <c r="F310" s="2"/>
      <c r="G310" s="2"/>
    </row>
    <row r="311" spans="1:7">
      <c r="A311" s="2" t="s">
        <v>328</v>
      </c>
      <c r="B311" s="3">
        <v>45236</v>
      </c>
      <c r="C311" s="2" t="s">
        <v>21</v>
      </c>
      <c r="D311" s="2" t="s">
        <v>8</v>
      </c>
      <c r="E311" s="2" t="s">
        <v>18</v>
      </c>
      <c r="F311" s="2">
        <v>547.70000000000005</v>
      </c>
      <c r="G311" s="2"/>
    </row>
    <row r="312" spans="1:7">
      <c r="A312" s="2" t="s">
        <v>329</v>
      </c>
      <c r="B312" s="3">
        <v>45237</v>
      </c>
      <c r="C312" s="2" t="s">
        <v>16</v>
      </c>
      <c r="D312" s="2" t="s">
        <v>11</v>
      </c>
      <c r="E312" s="2" t="s">
        <v>9</v>
      </c>
      <c r="F312" s="2">
        <v>653.64</v>
      </c>
      <c r="G312" s="2">
        <v>-18.39</v>
      </c>
    </row>
    <row r="313" spans="1:7">
      <c r="A313" s="2" t="s">
        <v>330</v>
      </c>
      <c r="B313" s="3">
        <v>45238</v>
      </c>
      <c r="C313" s="2" t="s">
        <v>16</v>
      </c>
      <c r="D313" s="2"/>
      <c r="E313" s="2"/>
      <c r="F313" s="2"/>
      <c r="G313" s="2"/>
    </row>
    <row r="314" spans="1:7">
      <c r="A314" s="2" t="s">
        <v>331</v>
      </c>
      <c r="B314" s="3">
        <v>45239</v>
      </c>
      <c r="C314" s="2"/>
      <c r="D314" s="2" t="s">
        <v>24</v>
      </c>
      <c r="E314" s="2"/>
      <c r="F314" s="2"/>
      <c r="G314" s="4"/>
    </row>
    <row r="315" spans="1:7">
      <c r="A315" s="2" t="s">
        <v>332</v>
      </c>
      <c r="B315" s="3">
        <v>45240</v>
      </c>
      <c r="C315" s="2" t="s">
        <v>13</v>
      </c>
      <c r="D315" s="2" t="s">
        <v>22</v>
      </c>
      <c r="E315" s="2"/>
      <c r="F315" s="2">
        <v>908.64</v>
      </c>
      <c r="G315" s="2"/>
    </row>
    <row r="316" spans="1:7">
      <c r="A316" s="2" t="s">
        <v>333</v>
      </c>
      <c r="B316" s="3">
        <v>45241</v>
      </c>
      <c r="C316" s="2" t="s">
        <v>13</v>
      </c>
      <c r="D316" s="2" t="s">
        <v>22</v>
      </c>
      <c r="E316" s="2" t="s">
        <v>9</v>
      </c>
      <c r="F316" s="2"/>
      <c r="G316" s="2"/>
    </row>
    <row r="317" spans="1:7">
      <c r="A317" s="2" t="s">
        <v>334</v>
      </c>
      <c r="B317" s="3">
        <v>45242</v>
      </c>
      <c r="C317" s="2" t="s">
        <v>13</v>
      </c>
      <c r="D317" s="2" t="s">
        <v>8</v>
      </c>
      <c r="E317" s="2" t="s">
        <v>32</v>
      </c>
      <c r="F317" s="2">
        <v>436.56</v>
      </c>
      <c r="G317" s="2">
        <v>-172.31</v>
      </c>
    </row>
    <row r="318" spans="1:7">
      <c r="A318" s="2" t="s">
        <v>335</v>
      </c>
      <c r="B318" s="3">
        <v>45243</v>
      </c>
      <c r="C318" s="2" t="s">
        <v>16</v>
      </c>
      <c r="D318" s="2" t="s">
        <v>22</v>
      </c>
      <c r="E318" s="2"/>
      <c r="F318" s="2">
        <v>914.71</v>
      </c>
      <c r="G318" s="2"/>
    </row>
    <row r="319" spans="1:7">
      <c r="A319" s="2" t="s">
        <v>336</v>
      </c>
      <c r="B319" s="3">
        <v>45244</v>
      </c>
      <c r="C319" s="2" t="s">
        <v>13</v>
      </c>
      <c r="D319" s="2" t="s">
        <v>22</v>
      </c>
      <c r="E319" s="2" t="s">
        <v>24</v>
      </c>
      <c r="F319" s="2">
        <v>982.74</v>
      </c>
      <c r="G319" s="2"/>
    </row>
    <row r="320" spans="1:7">
      <c r="A320" s="2" t="s">
        <v>337</v>
      </c>
      <c r="B320" s="3">
        <v>45245</v>
      </c>
      <c r="C320" s="2" t="s">
        <v>21</v>
      </c>
      <c r="D320" s="2" t="s">
        <v>22</v>
      </c>
      <c r="E320" s="2" t="s">
        <v>9</v>
      </c>
      <c r="F320" s="2"/>
      <c r="G320" s="2"/>
    </row>
    <row r="321" spans="1:7">
      <c r="A321" s="2" t="s">
        <v>338</v>
      </c>
      <c r="B321" s="3">
        <v>45246</v>
      </c>
      <c r="C321" s="2"/>
      <c r="D321" s="2" t="s">
        <v>18</v>
      </c>
      <c r="E321" s="2">
        <v>270.82</v>
      </c>
      <c r="F321" s="2"/>
      <c r="G321" s="4"/>
    </row>
    <row r="322" spans="1:7">
      <c r="A322" s="2" t="s">
        <v>339</v>
      </c>
      <c r="B322" s="3">
        <v>45247</v>
      </c>
      <c r="C322" s="2" t="s">
        <v>27</v>
      </c>
      <c r="D322" s="2"/>
      <c r="E322" s="2" t="s">
        <v>9</v>
      </c>
      <c r="F322" s="2">
        <v>474.31</v>
      </c>
      <c r="G322" s="2">
        <v>18.75</v>
      </c>
    </row>
    <row r="323" spans="1:7">
      <c r="A323" s="2" t="s">
        <v>340</v>
      </c>
      <c r="B323" s="3">
        <v>45248</v>
      </c>
      <c r="C323" s="2" t="s">
        <v>27</v>
      </c>
      <c r="D323" s="2"/>
      <c r="E323" s="2" t="s">
        <v>9</v>
      </c>
      <c r="F323" s="2"/>
      <c r="G323" s="2"/>
    </row>
    <row r="324" spans="1:7">
      <c r="A324" s="2" t="s">
        <v>341</v>
      </c>
      <c r="B324" s="3">
        <v>45249</v>
      </c>
      <c r="C324" s="2" t="s">
        <v>27</v>
      </c>
      <c r="D324" s="2"/>
      <c r="E324" s="2"/>
      <c r="F324" s="2">
        <v>378.64</v>
      </c>
      <c r="G324" s="2">
        <v>170.95</v>
      </c>
    </row>
    <row r="325" spans="1:7">
      <c r="A325" s="2" t="s">
        <v>342</v>
      </c>
      <c r="B325" s="3">
        <v>45250</v>
      </c>
      <c r="C325" s="2" t="s">
        <v>21</v>
      </c>
      <c r="D325" s="2" t="s">
        <v>8</v>
      </c>
      <c r="E325" s="2" t="s">
        <v>32</v>
      </c>
      <c r="F325" s="2"/>
      <c r="G325" s="2">
        <v>164.85</v>
      </c>
    </row>
    <row r="326" spans="1:7">
      <c r="A326" s="2" t="s">
        <v>343</v>
      </c>
      <c r="B326" s="3">
        <v>45251</v>
      </c>
      <c r="C326" s="2" t="s">
        <v>13</v>
      </c>
      <c r="D326" s="2"/>
      <c r="E326" s="2" t="s">
        <v>32</v>
      </c>
      <c r="F326" s="2"/>
      <c r="G326" s="2"/>
    </row>
    <row r="327" spans="1:7">
      <c r="A327" s="2" t="s">
        <v>344</v>
      </c>
      <c r="B327" s="3">
        <v>45252</v>
      </c>
      <c r="C327" s="2" t="s">
        <v>13</v>
      </c>
      <c r="D327" s="2" t="s">
        <v>22</v>
      </c>
      <c r="E327" s="2" t="s">
        <v>9</v>
      </c>
      <c r="F327" s="2"/>
      <c r="G327" s="2"/>
    </row>
    <row r="328" spans="1:7">
      <c r="A328" s="2" t="s">
        <v>345</v>
      </c>
      <c r="B328" s="3">
        <v>45253</v>
      </c>
      <c r="C328" s="2" t="s">
        <v>16</v>
      </c>
      <c r="D328" s="2" t="s">
        <v>22</v>
      </c>
      <c r="E328" s="2" t="s">
        <v>14</v>
      </c>
      <c r="F328" s="2"/>
      <c r="G328" s="2">
        <v>213.89</v>
      </c>
    </row>
    <row r="329" spans="1:7">
      <c r="A329" s="2" t="s">
        <v>346</v>
      </c>
      <c r="B329" s="3">
        <v>45254</v>
      </c>
      <c r="C329" s="2" t="s">
        <v>16</v>
      </c>
      <c r="D329" s="2" t="s">
        <v>22</v>
      </c>
      <c r="E329" s="2" t="s">
        <v>24</v>
      </c>
      <c r="F329" s="2"/>
      <c r="G329" s="2">
        <v>-92.65</v>
      </c>
    </row>
    <row r="330" spans="1:7">
      <c r="A330" s="2" t="s">
        <v>347</v>
      </c>
      <c r="B330" s="3">
        <v>45255</v>
      </c>
      <c r="C330" s="2" t="s">
        <v>13</v>
      </c>
      <c r="D330" s="2" t="s">
        <v>22</v>
      </c>
      <c r="E330" s="2" t="s">
        <v>18</v>
      </c>
      <c r="F330" s="2">
        <v>962.08</v>
      </c>
      <c r="G330" s="2"/>
    </row>
    <row r="331" spans="1:7">
      <c r="A331" s="2" t="s">
        <v>348</v>
      </c>
      <c r="B331" s="3">
        <v>45256</v>
      </c>
      <c r="C331" s="2"/>
      <c r="D331" s="2" t="s">
        <v>24</v>
      </c>
      <c r="E331" s="2"/>
      <c r="F331" s="2"/>
      <c r="G331" s="4"/>
    </row>
    <row r="332" spans="1:7">
      <c r="A332" s="2" t="s">
        <v>349</v>
      </c>
      <c r="B332" s="3">
        <v>45257</v>
      </c>
      <c r="C332" s="2" t="s">
        <v>13</v>
      </c>
      <c r="D332" s="2"/>
      <c r="E332" s="2" t="s">
        <v>18</v>
      </c>
      <c r="F332" s="2"/>
      <c r="G332" s="2"/>
    </row>
    <row r="333" spans="1:7">
      <c r="A333" s="2" t="s">
        <v>350</v>
      </c>
      <c r="B333" s="3">
        <v>45258</v>
      </c>
      <c r="C333" s="2" t="s">
        <v>27</v>
      </c>
      <c r="D333" s="2" t="s">
        <v>22</v>
      </c>
      <c r="E333" s="2" t="s">
        <v>9</v>
      </c>
      <c r="F333" s="2">
        <v>731.48</v>
      </c>
      <c r="G333" s="2"/>
    </row>
    <row r="334" spans="1:7">
      <c r="A334" s="2" t="s">
        <v>351</v>
      </c>
      <c r="B334" s="3">
        <v>45259</v>
      </c>
      <c r="C334" s="2" t="s">
        <v>16</v>
      </c>
      <c r="D334" s="2" t="s">
        <v>22</v>
      </c>
      <c r="E334" s="2" t="s">
        <v>9</v>
      </c>
      <c r="F334" s="2"/>
      <c r="G334" s="2">
        <v>131.31</v>
      </c>
    </row>
    <row r="335" spans="1:7">
      <c r="A335" s="2" t="s">
        <v>352</v>
      </c>
      <c r="B335" s="3">
        <v>45260</v>
      </c>
      <c r="C335" s="2" t="s">
        <v>22</v>
      </c>
      <c r="D335" s="2" t="s">
        <v>24</v>
      </c>
      <c r="E335" s="2">
        <v>438.96</v>
      </c>
      <c r="F335" s="2">
        <v>58.65</v>
      </c>
      <c r="G335" s="4"/>
    </row>
    <row r="336" spans="1:7">
      <c r="A336" s="2" t="s">
        <v>353</v>
      </c>
      <c r="B336" s="3">
        <v>45261</v>
      </c>
      <c r="C336" s="2" t="s">
        <v>11</v>
      </c>
      <c r="D336" s="2" t="s">
        <v>9</v>
      </c>
      <c r="E336" s="2"/>
      <c r="F336" s="2">
        <v>238.84</v>
      </c>
      <c r="G336" s="4"/>
    </row>
    <row r="337" spans="1:7">
      <c r="A337" s="2" t="s">
        <v>354</v>
      </c>
      <c r="B337" s="3">
        <v>45262</v>
      </c>
      <c r="C337" s="2" t="s">
        <v>21</v>
      </c>
      <c r="D337" s="2" t="s">
        <v>11</v>
      </c>
      <c r="E337" s="2" t="s">
        <v>24</v>
      </c>
      <c r="F337" s="2"/>
      <c r="G337" s="2">
        <v>-103.03</v>
      </c>
    </row>
    <row r="338" spans="1:7">
      <c r="A338" s="2" t="s">
        <v>355</v>
      </c>
      <c r="B338" s="3">
        <v>45263</v>
      </c>
      <c r="C338" s="2" t="s">
        <v>16</v>
      </c>
      <c r="D338" s="2" t="s">
        <v>22</v>
      </c>
      <c r="E338" s="2" t="s">
        <v>32</v>
      </c>
      <c r="F338" s="2">
        <v>642.57000000000005</v>
      </c>
      <c r="G338" s="2">
        <v>7.4</v>
      </c>
    </row>
    <row r="339" spans="1:7">
      <c r="A339" s="2" t="s">
        <v>356</v>
      </c>
      <c r="B339" s="3">
        <v>45264</v>
      </c>
      <c r="C339" s="2" t="s">
        <v>27</v>
      </c>
      <c r="D339" s="2" t="s">
        <v>8</v>
      </c>
      <c r="E339" s="2" t="s">
        <v>18</v>
      </c>
      <c r="F339" s="2"/>
      <c r="G339" s="2"/>
    </row>
    <row r="340" spans="1:7">
      <c r="A340" s="2" t="s">
        <v>357</v>
      </c>
      <c r="B340" s="3">
        <v>45265</v>
      </c>
      <c r="C340" s="2" t="s">
        <v>16</v>
      </c>
      <c r="D340" s="2" t="s">
        <v>8</v>
      </c>
      <c r="E340" s="2" t="s">
        <v>9</v>
      </c>
      <c r="F340" s="2">
        <v>677.03</v>
      </c>
      <c r="G340" s="2">
        <v>141.41999999999999</v>
      </c>
    </row>
    <row r="341" spans="1:7">
      <c r="A341" s="2" t="s">
        <v>358</v>
      </c>
      <c r="B341" s="3">
        <v>45266</v>
      </c>
      <c r="C341" s="2" t="s">
        <v>13</v>
      </c>
      <c r="D341" s="2" t="s">
        <v>8</v>
      </c>
      <c r="E341" s="2"/>
      <c r="F341" s="2">
        <v>231.36</v>
      </c>
      <c r="G341" s="4"/>
    </row>
    <row r="342" spans="1:7">
      <c r="A342" s="2" t="s">
        <v>359</v>
      </c>
      <c r="B342" s="3">
        <v>45267</v>
      </c>
      <c r="C342" s="2" t="s">
        <v>27</v>
      </c>
      <c r="D342" s="2"/>
      <c r="E342" s="2" t="s">
        <v>14</v>
      </c>
      <c r="F342" s="2">
        <v>562.5</v>
      </c>
      <c r="G342" s="2"/>
    </row>
    <row r="343" spans="1:7">
      <c r="A343" s="2" t="s">
        <v>360</v>
      </c>
      <c r="B343" s="3">
        <v>45268</v>
      </c>
      <c r="C343" s="2" t="s">
        <v>21</v>
      </c>
      <c r="D343" s="2" t="s">
        <v>22</v>
      </c>
      <c r="E343" s="2" t="s">
        <v>18</v>
      </c>
      <c r="F343" s="2"/>
      <c r="G343" s="2">
        <v>7.13</v>
      </c>
    </row>
    <row r="344" spans="1:7">
      <c r="A344" s="2" t="s">
        <v>361</v>
      </c>
      <c r="B344" s="3">
        <v>45269</v>
      </c>
      <c r="C344" s="2" t="s">
        <v>16</v>
      </c>
      <c r="D344" s="2" t="s">
        <v>11</v>
      </c>
      <c r="E344" s="2" t="s">
        <v>9</v>
      </c>
      <c r="F344" s="2"/>
      <c r="G344" s="2"/>
    </row>
    <row r="345" spans="1:7">
      <c r="A345" s="2" t="s">
        <v>362</v>
      </c>
      <c r="B345" s="3">
        <v>45270</v>
      </c>
      <c r="C345" s="2" t="s">
        <v>27</v>
      </c>
      <c r="D345" s="2" t="s">
        <v>22</v>
      </c>
      <c r="E345" s="2" t="s">
        <v>14</v>
      </c>
      <c r="F345" s="2"/>
      <c r="G345" s="2">
        <v>55.86</v>
      </c>
    </row>
    <row r="346" spans="1:7">
      <c r="A346" s="2" t="s">
        <v>363</v>
      </c>
      <c r="B346" s="3">
        <v>45271</v>
      </c>
      <c r="C346" s="2"/>
      <c r="D346" s="2" t="s">
        <v>18</v>
      </c>
      <c r="E346" s="2"/>
      <c r="F346" s="2"/>
      <c r="G346" s="4"/>
    </row>
    <row r="347" spans="1:7">
      <c r="A347" s="2" t="s">
        <v>364</v>
      </c>
      <c r="B347" s="3">
        <v>45272</v>
      </c>
      <c r="C347" s="2" t="s">
        <v>8</v>
      </c>
      <c r="D347" s="2"/>
      <c r="E347" s="2"/>
      <c r="F347" s="4"/>
      <c r="G347" s="4"/>
    </row>
    <row r="348" spans="1:7">
      <c r="A348" s="2" t="s">
        <v>365</v>
      </c>
      <c r="B348" s="3">
        <v>45273</v>
      </c>
      <c r="C348" s="2" t="s">
        <v>16</v>
      </c>
      <c r="D348" s="2" t="s">
        <v>11</v>
      </c>
      <c r="E348" s="2" t="s">
        <v>9</v>
      </c>
      <c r="F348" s="2">
        <v>147.38999999999999</v>
      </c>
      <c r="G348" s="2"/>
    </row>
    <row r="349" spans="1:7">
      <c r="A349" s="2" t="s">
        <v>366</v>
      </c>
      <c r="B349" s="3">
        <v>45274</v>
      </c>
      <c r="C349" s="2" t="s">
        <v>27</v>
      </c>
      <c r="D349" s="2"/>
      <c r="E349" s="2" t="s">
        <v>24</v>
      </c>
      <c r="F349" s="2">
        <v>926.24</v>
      </c>
      <c r="G349" s="2">
        <v>14.37</v>
      </c>
    </row>
    <row r="350" spans="1:7">
      <c r="A350" s="2" t="s">
        <v>367</v>
      </c>
      <c r="B350" s="3">
        <v>45275</v>
      </c>
      <c r="C350" s="2" t="s">
        <v>11</v>
      </c>
      <c r="D350" s="2" t="s">
        <v>14</v>
      </c>
      <c r="E350" s="2"/>
      <c r="F350" s="2"/>
      <c r="G350" s="4"/>
    </row>
    <row r="351" spans="1:7">
      <c r="A351" s="2" t="s">
        <v>368</v>
      </c>
      <c r="B351" s="3">
        <v>45276</v>
      </c>
      <c r="C351" s="2" t="s">
        <v>16</v>
      </c>
      <c r="D351" s="2" t="s">
        <v>11</v>
      </c>
      <c r="E351" s="2" t="s">
        <v>18</v>
      </c>
      <c r="F351" s="2">
        <v>720.29</v>
      </c>
      <c r="G351" s="2">
        <v>-11.79</v>
      </c>
    </row>
    <row r="352" spans="1:7">
      <c r="A352" s="2" t="s">
        <v>369</v>
      </c>
      <c r="B352" s="3">
        <v>45277</v>
      </c>
      <c r="C352" s="2" t="s">
        <v>16</v>
      </c>
      <c r="D352" s="2" t="s">
        <v>11</v>
      </c>
      <c r="E352" s="2" t="s">
        <v>9</v>
      </c>
      <c r="F352" s="2"/>
      <c r="G352" s="2"/>
    </row>
    <row r="353" spans="1:7">
      <c r="A353" s="2" t="s">
        <v>370</v>
      </c>
      <c r="B353" s="3">
        <v>45278</v>
      </c>
      <c r="C353" s="2" t="s">
        <v>8</v>
      </c>
      <c r="D353" s="2" t="s">
        <v>14</v>
      </c>
      <c r="E353" s="2"/>
      <c r="F353" s="2">
        <v>103.76</v>
      </c>
      <c r="G353" s="4"/>
    </row>
    <row r="354" spans="1:7">
      <c r="A354" s="2" t="s">
        <v>371</v>
      </c>
      <c r="B354" s="3">
        <v>45279</v>
      </c>
      <c r="C354" s="2" t="s">
        <v>27</v>
      </c>
      <c r="D354" s="2" t="s">
        <v>8</v>
      </c>
      <c r="E354" s="2"/>
      <c r="F354" s="2"/>
      <c r="G354" s="4"/>
    </row>
    <row r="355" spans="1:7">
      <c r="A355" s="2" t="s">
        <v>372</v>
      </c>
      <c r="B355" s="3">
        <v>45280</v>
      </c>
      <c r="C355" s="2" t="s">
        <v>16</v>
      </c>
      <c r="D355" s="2" t="s">
        <v>8</v>
      </c>
      <c r="E355" s="2" t="s">
        <v>24</v>
      </c>
      <c r="F355" s="2"/>
      <c r="G355" s="2">
        <v>126.59</v>
      </c>
    </row>
    <row r="356" spans="1:7">
      <c r="A356" s="2" t="s">
        <v>373</v>
      </c>
      <c r="B356" s="3">
        <v>45281</v>
      </c>
      <c r="C356" s="2" t="s">
        <v>16</v>
      </c>
      <c r="D356" s="2" t="s">
        <v>8</v>
      </c>
      <c r="E356" s="2" t="s">
        <v>18</v>
      </c>
      <c r="F356" s="2">
        <v>227.82</v>
      </c>
      <c r="G356" s="2"/>
    </row>
    <row r="357" spans="1:7">
      <c r="A357" s="2" t="s">
        <v>374</v>
      </c>
      <c r="B357" s="3">
        <v>45282</v>
      </c>
      <c r="C357" s="2" t="s">
        <v>13</v>
      </c>
      <c r="D357" s="2"/>
      <c r="E357" s="2"/>
      <c r="F357" s="2"/>
      <c r="G357" s="2"/>
    </row>
    <row r="358" spans="1:7">
      <c r="A358" s="2" t="s">
        <v>375</v>
      </c>
      <c r="B358" s="3">
        <v>45283</v>
      </c>
      <c r="C358" s="2" t="s">
        <v>27</v>
      </c>
      <c r="D358" s="2"/>
      <c r="E358" s="2" t="s">
        <v>24</v>
      </c>
      <c r="F358" s="2"/>
      <c r="G358" s="2"/>
    </row>
    <row r="359" spans="1:7">
      <c r="A359" s="2" t="s">
        <v>376</v>
      </c>
      <c r="B359" s="3">
        <v>45284</v>
      </c>
      <c r="C359" s="2" t="s">
        <v>16</v>
      </c>
      <c r="D359" s="2"/>
      <c r="E359" s="2" t="s">
        <v>18</v>
      </c>
      <c r="F359" s="2">
        <v>237.24</v>
      </c>
      <c r="G359" s="2">
        <v>161.99</v>
      </c>
    </row>
    <row r="360" spans="1:7">
      <c r="A360" s="2" t="s">
        <v>377</v>
      </c>
      <c r="B360" s="3">
        <v>45285</v>
      </c>
      <c r="C360" s="2" t="s">
        <v>16</v>
      </c>
      <c r="D360" s="2" t="s">
        <v>8</v>
      </c>
      <c r="E360" s="2" t="s">
        <v>24</v>
      </c>
      <c r="F360" s="2">
        <v>701.12</v>
      </c>
      <c r="G360" s="2"/>
    </row>
    <row r="361" spans="1:7">
      <c r="A361" s="2" t="s">
        <v>378</v>
      </c>
      <c r="B361" s="3">
        <v>45286</v>
      </c>
      <c r="C361" s="2" t="s">
        <v>22</v>
      </c>
      <c r="D361" s="2" t="s">
        <v>14</v>
      </c>
      <c r="E361" s="2"/>
      <c r="F361" s="2">
        <v>36.58</v>
      </c>
      <c r="G361" s="4"/>
    </row>
    <row r="362" spans="1:7">
      <c r="A362" s="2" t="s">
        <v>379</v>
      </c>
      <c r="B362" s="3">
        <v>45287</v>
      </c>
      <c r="C362" s="2" t="s">
        <v>16</v>
      </c>
      <c r="D362" s="2" t="s">
        <v>8</v>
      </c>
      <c r="E362" s="2" t="s">
        <v>14</v>
      </c>
      <c r="F362" s="2"/>
      <c r="G362" s="2"/>
    </row>
    <row r="363" spans="1:7">
      <c r="A363" s="2" t="s">
        <v>380</v>
      </c>
      <c r="B363" s="3">
        <v>45288</v>
      </c>
      <c r="C363" s="2"/>
      <c r="D363" s="2" t="s">
        <v>18</v>
      </c>
      <c r="E363" s="2">
        <v>626.15</v>
      </c>
      <c r="F363" s="2">
        <v>51.6</v>
      </c>
      <c r="G363" s="4"/>
    </row>
    <row r="364" spans="1:7">
      <c r="A364" s="2" t="s">
        <v>381</v>
      </c>
      <c r="B364" s="3">
        <v>45289</v>
      </c>
      <c r="C364" s="2" t="s">
        <v>27</v>
      </c>
      <c r="D364" s="2" t="s">
        <v>22</v>
      </c>
      <c r="E364" s="2" t="s">
        <v>24</v>
      </c>
      <c r="F364" s="2">
        <v>422.35</v>
      </c>
      <c r="G364" s="2"/>
    </row>
    <row r="365" spans="1:7">
      <c r="A365" s="2" t="s">
        <v>382</v>
      </c>
      <c r="B365" s="3">
        <v>45290</v>
      </c>
      <c r="C365" s="2" t="s">
        <v>16</v>
      </c>
      <c r="D365" s="2"/>
      <c r="E365" s="2" t="s">
        <v>24</v>
      </c>
      <c r="F365" s="2">
        <v>509.58</v>
      </c>
      <c r="G365" s="2">
        <v>-155.79</v>
      </c>
    </row>
    <row r="366" spans="1:7">
      <c r="A366" s="2" t="s">
        <v>383</v>
      </c>
      <c r="B366" s="3">
        <v>45291</v>
      </c>
      <c r="C366" s="2" t="s">
        <v>21</v>
      </c>
      <c r="D366" s="2" t="s">
        <v>22</v>
      </c>
      <c r="E366" s="2" t="s">
        <v>14</v>
      </c>
      <c r="F366" s="2"/>
      <c r="G366" s="2"/>
    </row>
    <row r="367" spans="1:7">
      <c r="A367" s="2" t="s">
        <v>384</v>
      </c>
      <c r="B367" s="3">
        <v>45292</v>
      </c>
      <c r="C367" s="2" t="s">
        <v>16</v>
      </c>
      <c r="D367" s="2" t="s">
        <v>22</v>
      </c>
      <c r="E367" s="2" t="s">
        <v>18</v>
      </c>
      <c r="F367" s="2">
        <v>215.45</v>
      </c>
      <c r="G367" s="2"/>
    </row>
    <row r="368" spans="1:7">
      <c r="A368" s="2" t="s">
        <v>385</v>
      </c>
      <c r="B368" s="3">
        <v>45293</v>
      </c>
      <c r="C368" s="2" t="s">
        <v>13</v>
      </c>
      <c r="D368" s="2"/>
      <c r="E368" s="2" t="s">
        <v>18</v>
      </c>
      <c r="F368" s="2"/>
      <c r="G368" s="2"/>
    </row>
    <row r="369" spans="1:7">
      <c r="A369" s="2" t="s">
        <v>386</v>
      </c>
      <c r="B369" s="3">
        <v>45294</v>
      </c>
      <c r="C369" s="2" t="s">
        <v>13</v>
      </c>
      <c r="D369" s="2" t="s">
        <v>11</v>
      </c>
      <c r="E369" s="2" t="s">
        <v>32</v>
      </c>
      <c r="F369" s="2"/>
      <c r="G369" s="2"/>
    </row>
    <row r="370" spans="1:7">
      <c r="A370" s="2" t="s">
        <v>387</v>
      </c>
      <c r="B370" s="3">
        <v>45295</v>
      </c>
      <c r="C370" s="2" t="s">
        <v>11</v>
      </c>
      <c r="D370" s="2"/>
      <c r="E370" s="2"/>
      <c r="F370" s="2"/>
      <c r="G370" s="4"/>
    </row>
    <row r="371" spans="1:7">
      <c r="A371" s="2" t="s">
        <v>388</v>
      </c>
      <c r="B371" s="3">
        <v>45296</v>
      </c>
      <c r="C371" s="2" t="s">
        <v>13</v>
      </c>
      <c r="D371" s="2" t="s">
        <v>8</v>
      </c>
      <c r="E371" s="2">
        <v>729.22</v>
      </c>
      <c r="F371" s="2"/>
      <c r="G371" s="4"/>
    </row>
    <row r="372" spans="1:7">
      <c r="A372" s="2" t="s">
        <v>389</v>
      </c>
      <c r="B372" s="3">
        <v>45297</v>
      </c>
      <c r="C372" s="2" t="s">
        <v>16</v>
      </c>
      <c r="D372" s="2" t="s">
        <v>8</v>
      </c>
      <c r="E372" s="2" t="s">
        <v>18</v>
      </c>
      <c r="F372" s="2"/>
      <c r="G372" s="2"/>
    </row>
    <row r="373" spans="1:7">
      <c r="A373" s="2" t="s">
        <v>390</v>
      </c>
      <c r="B373" s="3">
        <v>45298</v>
      </c>
      <c r="C373" s="2" t="s">
        <v>27</v>
      </c>
      <c r="D373" s="2"/>
      <c r="E373" s="2" t="s">
        <v>18</v>
      </c>
      <c r="F373" s="2"/>
      <c r="G373" s="2">
        <v>-4.1399999999999997</v>
      </c>
    </row>
    <row r="374" spans="1:7">
      <c r="A374" s="2" t="s">
        <v>391</v>
      </c>
      <c r="B374" s="3">
        <v>45299</v>
      </c>
      <c r="C374" s="2"/>
      <c r="D374" s="2" t="s">
        <v>18</v>
      </c>
      <c r="E374" s="2"/>
      <c r="F374" s="2"/>
      <c r="G374" s="4"/>
    </row>
    <row r="375" spans="1:7">
      <c r="A375" s="2" t="s">
        <v>392</v>
      </c>
      <c r="B375" s="3">
        <v>45300</v>
      </c>
      <c r="C375" s="2"/>
      <c r="D375" s="2" t="s">
        <v>32</v>
      </c>
      <c r="E375" s="2"/>
      <c r="F375" s="2">
        <v>-48.87</v>
      </c>
      <c r="G375" s="4"/>
    </row>
    <row r="376" spans="1:7">
      <c r="A376" s="2" t="s">
        <v>393</v>
      </c>
      <c r="B376" s="3">
        <v>45301</v>
      </c>
      <c r="C376" s="2" t="s">
        <v>21</v>
      </c>
      <c r="D376" s="2"/>
      <c r="E376" s="2" t="s">
        <v>24</v>
      </c>
      <c r="F376" s="2"/>
      <c r="G376" s="2">
        <v>80.709999999999994</v>
      </c>
    </row>
    <row r="377" spans="1:7">
      <c r="A377" s="2" t="s">
        <v>394</v>
      </c>
      <c r="B377" s="3">
        <v>45302</v>
      </c>
      <c r="C377" s="2" t="s">
        <v>21</v>
      </c>
      <c r="D377" s="2" t="s">
        <v>8</v>
      </c>
      <c r="E377" s="2" t="s">
        <v>32</v>
      </c>
      <c r="F377" s="2">
        <v>701.96</v>
      </c>
      <c r="G377" s="2"/>
    </row>
    <row r="378" spans="1:7">
      <c r="A378" s="2" t="s">
        <v>395</v>
      </c>
      <c r="B378" s="3">
        <v>45303</v>
      </c>
      <c r="C378" s="2"/>
      <c r="D378" s="2" t="s">
        <v>9</v>
      </c>
      <c r="E378" s="2">
        <v>454.95</v>
      </c>
      <c r="F378" s="2">
        <v>-88.35</v>
      </c>
      <c r="G378" s="4"/>
    </row>
    <row r="379" spans="1:7">
      <c r="A379" s="2" t="s">
        <v>396</v>
      </c>
      <c r="B379" s="3">
        <v>45304</v>
      </c>
      <c r="C379" s="2" t="s">
        <v>13</v>
      </c>
      <c r="D379" s="2" t="s">
        <v>11</v>
      </c>
      <c r="E379" s="2" t="s">
        <v>18</v>
      </c>
      <c r="F379" s="2">
        <v>348.38</v>
      </c>
      <c r="G379" s="2">
        <v>-186.16</v>
      </c>
    </row>
    <row r="380" spans="1:7">
      <c r="A380" s="2" t="s">
        <v>397</v>
      </c>
      <c r="B380" s="3">
        <v>45305</v>
      </c>
      <c r="C380" s="2" t="s">
        <v>21</v>
      </c>
      <c r="D380" s="2"/>
      <c r="E380" s="2" t="s">
        <v>24</v>
      </c>
      <c r="F380" s="2">
        <v>787.61</v>
      </c>
      <c r="G380" s="2">
        <v>88.76</v>
      </c>
    </row>
    <row r="381" spans="1:7">
      <c r="A381" s="2" t="s">
        <v>398</v>
      </c>
      <c r="B381" s="3">
        <v>45306</v>
      </c>
      <c r="C381" s="2" t="s">
        <v>27</v>
      </c>
      <c r="D381" s="2" t="s">
        <v>22</v>
      </c>
      <c r="E381" s="2" t="s">
        <v>24</v>
      </c>
      <c r="F381" s="2"/>
      <c r="G381" s="2"/>
    </row>
    <row r="382" spans="1:7">
      <c r="A382" s="2" t="s">
        <v>399</v>
      </c>
      <c r="B382" s="3">
        <v>45307</v>
      </c>
      <c r="C382" s="2" t="s">
        <v>16</v>
      </c>
      <c r="D382" s="2" t="s">
        <v>8</v>
      </c>
      <c r="E382" s="2" t="s">
        <v>32</v>
      </c>
      <c r="F382" s="2">
        <v>123.73</v>
      </c>
      <c r="G382" s="2"/>
    </row>
    <row r="383" spans="1:7">
      <c r="A383" s="2" t="s">
        <v>400</v>
      </c>
      <c r="B383" s="3">
        <v>45308</v>
      </c>
      <c r="C383" s="2" t="s">
        <v>13</v>
      </c>
      <c r="D383" s="2"/>
      <c r="E383" s="2" t="s">
        <v>32</v>
      </c>
      <c r="F383" s="2">
        <v>523.71</v>
      </c>
      <c r="G383" s="2"/>
    </row>
    <row r="384" spans="1:7">
      <c r="A384" s="2" t="s">
        <v>401</v>
      </c>
      <c r="B384" s="3">
        <v>45309</v>
      </c>
      <c r="C384" s="2" t="s">
        <v>21</v>
      </c>
      <c r="D384" s="2" t="s">
        <v>8</v>
      </c>
      <c r="E384" s="2" t="s">
        <v>14</v>
      </c>
      <c r="F384" s="2"/>
      <c r="G384" s="2">
        <v>239.29</v>
      </c>
    </row>
    <row r="385" spans="1:7">
      <c r="A385" s="2" t="s">
        <v>402</v>
      </c>
      <c r="B385" s="3">
        <v>45310</v>
      </c>
      <c r="C385" s="2" t="s">
        <v>13</v>
      </c>
      <c r="D385" s="2" t="s">
        <v>8</v>
      </c>
      <c r="E385" s="2" t="s">
        <v>24</v>
      </c>
      <c r="F385" s="2"/>
      <c r="G385" s="2">
        <v>96.71</v>
      </c>
    </row>
    <row r="386" spans="1:7">
      <c r="A386" s="2" t="s">
        <v>403</v>
      </c>
      <c r="B386" s="3">
        <v>45311</v>
      </c>
      <c r="C386" s="2" t="s">
        <v>16</v>
      </c>
      <c r="D386" s="2" t="s">
        <v>11</v>
      </c>
      <c r="E386" s="2" t="s">
        <v>18</v>
      </c>
      <c r="F386" s="2"/>
      <c r="G386" s="2"/>
    </row>
    <row r="387" spans="1:7">
      <c r="A387" s="2" t="s">
        <v>404</v>
      </c>
      <c r="B387" s="3">
        <v>45312</v>
      </c>
      <c r="C387" s="2" t="s">
        <v>16</v>
      </c>
      <c r="D387" s="2" t="s">
        <v>11</v>
      </c>
      <c r="E387" s="2" t="s">
        <v>9</v>
      </c>
      <c r="F387" s="2"/>
      <c r="G387" s="2">
        <v>228.89</v>
      </c>
    </row>
    <row r="388" spans="1:7">
      <c r="A388" s="2" t="s">
        <v>405</v>
      </c>
      <c r="B388" s="3">
        <v>45313</v>
      </c>
      <c r="C388" s="2" t="s">
        <v>21</v>
      </c>
      <c r="D388" s="2" t="s">
        <v>11</v>
      </c>
      <c r="E388" s="2" t="s">
        <v>14</v>
      </c>
      <c r="F388" s="2"/>
      <c r="G388" s="2">
        <v>-117.61</v>
      </c>
    </row>
    <row r="389" spans="1:7">
      <c r="A389" s="2" t="s">
        <v>406</v>
      </c>
      <c r="B389" s="3">
        <v>45314</v>
      </c>
      <c r="C389" s="2" t="s">
        <v>21</v>
      </c>
      <c r="D389" s="2"/>
      <c r="E389" s="2" t="s">
        <v>24</v>
      </c>
      <c r="F389" s="2"/>
      <c r="G389" s="2">
        <v>-105.45</v>
      </c>
    </row>
    <row r="390" spans="1:7">
      <c r="A390" s="2" t="s">
        <v>407</v>
      </c>
      <c r="B390" s="3">
        <v>45315</v>
      </c>
      <c r="C390" s="2" t="s">
        <v>21</v>
      </c>
      <c r="D390" s="2" t="s">
        <v>22</v>
      </c>
      <c r="E390" s="2" t="s">
        <v>9</v>
      </c>
      <c r="F390" s="2">
        <v>965.96</v>
      </c>
      <c r="G390" s="2"/>
    </row>
    <row r="391" spans="1:7">
      <c r="A391" s="2" t="s">
        <v>408</v>
      </c>
      <c r="B391" s="3">
        <v>45316</v>
      </c>
      <c r="C391" s="2" t="s">
        <v>21</v>
      </c>
      <c r="D391" s="2" t="s">
        <v>22</v>
      </c>
      <c r="E391" s="2" t="s">
        <v>14</v>
      </c>
      <c r="F391" s="2">
        <v>768.41</v>
      </c>
      <c r="G391" s="2"/>
    </row>
    <row r="392" spans="1:7">
      <c r="A392" s="2" t="s">
        <v>409</v>
      </c>
      <c r="B392" s="3">
        <v>45317</v>
      </c>
      <c r="C392" s="2" t="s">
        <v>11</v>
      </c>
      <c r="D392" s="2" t="s">
        <v>14</v>
      </c>
      <c r="E392" s="2"/>
      <c r="F392" s="2"/>
      <c r="G392" s="4"/>
    </row>
    <row r="393" spans="1:7">
      <c r="A393" s="2" t="s">
        <v>410</v>
      </c>
      <c r="B393" s="3">
        <v>45318</v>
      </c>
      <c r="C393" s="2" t="s">
        <v>21</v>
      </c>
      <c r="D393" s="2" t="s">
        <v>8</v>
      </c>
      <c r="E393" s="2"/>
      <c r="F393" s="2">
        <v>84.22</v>
      </c>
      <c r="G393" s="4"/>
    </row>
    <row r="394" spans="1:7">
      <c r="A394" s="2" t="s">
        <v>411</v>
      </c>
      <c r="B394" s="3">
        <v>45319</v>
      </c>
      <c r="C394" s="2" t="s">
        <v>27</v>
      </c>
      <c r="D394" s="2" t="s">
        <v>22</v>
      </c>
      <c r="E394" s="2" t="s">
        <v>14</v>
      </c>
      <c r="F394" s="2"/>
      <c r="G394" s="2">
        <v>60.41</v>
      </c>
    </row>
    <row r="395" spans="1:7">
      <c r="A395" s="2" t="s">
        <v>412</v>
      </c>
      <c r="B395" s="3">
        <v>45320</v>
      </c>
      <c r="C395" s="2" t="s">
        <v>16</v>
      </c>
      <c r="D395" s="2"/>
      <c r="E395" s="2" t="s">
        <v>32</v>
      </c>
      <c r="F395" s="2">
        <v>687.84</v>
      </c>
      <c r="G395" s="2"/>
    </row>
    <row r="396" spans="1:7">
      <c r="A396" s="2" t="s">
        <v>413</v>
      </c>
      <c r="B396" s="3">
        <v>45321</v>
      </c>
      <c r="C396" s="2" t="s">
        <v>21</v>
      </c>
      <c r="D396" s="2" t="s">
        <v>8</v>
      </c>
      <c r="E396" s="2" t="s">
        <v>18</v>
      </c>
      <c r="F396" s="2">
        <v>71.650000000000006</v>
      </c>
      <c r="G396" s="2">
        <v>-90.54</v>
      </c>
    </row>
    <row r="397" spans="1:7">
      <c r="A397" s="2" t="s">
        <v>414</v>
      </c>
      <c r="B397" s="3">
        <v>45322</v>
      </c>
      <c r="C397" s="2" t="s">
        <v>13</v>
      </c>
      <c r="D397" s="2" t="s">
        <v>8</v>
      </c>
      <c r="E397" s="2" t="s">
        <v>32</v>
      </c>
      <c r="F397" s="2"/>
      <c r="G397" s="2"/>
    </row>
    <row r="398" spans="1:7">
      <c r="A398" s="2" t="s">
        <v>415</v>
      </c>
      <c r="B398" s="3">
        <v>45323</v>
      </c>
      <c r="C398" s="2"/>
      <c r="D398" s="2" t="s">
        <v>14</v>
      </c>
      <c r="E398" s="2">
        <v>456.57</v>
      </c>
      <c r="F398" s="2">
        <v>203.55</v>
      </c>
      <c r="G398" s="4"/>
    </row>
    <row r="399" spans="1:7">
      <c r="A399" s="2" t="s">
        <v>416</v>
      </c>
      <c r="B399" s="3">
        <v>45324</v>
      </c>
      <c r="C399" s="2" t="s">
        <v>13</v>
      </c>
      <c r="D399" s="2" t="s">
        <v>22</v>
      </c>
      <c r="E399" s="2" t="s">
        <v>18</v>
      </c>
      <c r="F399" s="2">
        <v>935.03</v>
      </c>
      <c r="G399" s="2">
        <v>-117.54</v>
      </c>
    </row>
    <row r="400" spans="1:7">
      <c r="A400" s="2" t="s">
        <v>417</v>
      </c>
      <c r="B400" s="3">
        <v>45325</v>
      </c>
      <c r="C400" s="2" t="s">
        <v>13</v>
      </c>
      <c r="D400" s="2"/>
      <c r="E400" s="2" t="s">
        <v>14</v>
      </c>
      <c r="F400" s="2">
        <v>895.45</v>
      </c>
      <c r="G400" s="2">
        <v>50.98</v>
      </c>
    </row>
    <row r="401" spans="1:7">
      <c r="A401" s="2" t="s">
        <v>418</v>
      </c>
      <c r="B401" s="3">
        <v>45326</v>
      </c>
      <c r="C401" s="2"/>
      <c r="D401" s="2" t="s">
        <v>9</v>
      </c>
      <c r="E401" s="2">
        <v>593.33000000000004</v>
      </c>
      <c r="F401" s="2"/>
      <c r="G401" s="4"/>
    </row>
    <row r="402" spans="1:7">
      <c r="A402" s="2" t="s">
        <v>419</v>
      </c>
      <c r="B402" s="3">
        <v>45327</v>
      </c>
      <c r="C402" s="2" t="s">
        <v>21</v>
      </c>
      <c r="D402" s="2" t="s">
        <v>22</v>
      </c>
      <c r="E402" s="2" t="s">
        <v>18</v>
      </c>
      <c r="F402" s="2"/>
      <c r="G402" s="2">
        <v>119.09</v>
      </c>
    </row>
    <row r="403" spans="1:7">
      <c r="A403" s="2" t="s">
        <v>420</v>
      </c>
      <c r="B403" s="3">
        <v>45328</v>
      </c>
      <c r="C403" s="2" t="s">
        <v>27</v>
      </c>
      <c r="D403" s="2" t="s">
        <v>11</v>
      </c>
      <c r="E403" s="2" t="s">
        <v>18</v>
      </c>
      <c r="F403" s="2"/>
      <c r="G403" s="2"/>
    </row>
    <row r="404" spans="1:7">
      <c r="A404" s="2" t="s">
        <v>421</v>
      </c>
      <c r="B404" s="3">
        <v>45329</v>
      </c>
      <c r="C404" s="2" t="s">
        <v>16</v>
      </c>
      <c r="D404" s="2" t="s">
        <v>22</v>
      </c>
      <c r="E404" s="2" t="s">
        <v>18</v>
      </c>
      <c r="F404" s="2"/>
      <c r="G404" s="2"/>
    </row>
    <row r="405" spans="1:7">
      <c r="A405" s="2" t="s">
        <v>422</v>
      </c>
      <c r="B405" s="3">
        <v>45330</v>
      </c>
      <c r="C405" s="2" t="s">
        <v>27</v>
      </c>
      <c r="D405" s="2" t="s">
        <v>11</v>
      </c>
      <c r="E405" s="2" t="s">
        <v>18</v>
      </c>
      <c r="F405" s="2">
        <v>276.14</v>
      </c>
      <c r="G405" s="2"/>
    </row>
    <row r="406" spans="1:7">
      <c r="A406" s="2" t="s">
        <v>423</v>
      </c>
      <c r="B406" s="3">
        <v>45331</v>
      </c>
      <c r="C406" s="2" t="s">
        <v>13</v>
      </c>
      <c r="D406" s="2"/>
      <c r="E406" s="2" t="s">
        <v>18</v>
      </c>
      <c r="F406" s="2">
        <v>836.02</v>
      </c>
      <c r="G406" s="2">
        <v>-18.46</v>
      </c>
    </row>
    <row r="407" spans="1:7">
      <c r="A407" s="2" t="s">
        <v>424</v>
      </c>
      <c r="B407" s="3">
        <v>45332</v>
      </c>
      <c r="C407" s="2" t="s">
        <v>22</v>
      </c>
      <c r="D407" s="2" t="s">
        <v>9</v>
      </c>
      <c r="E407" s="2"/>
      <c r="F407" s="2">
        <v>101.95</v>
      </c>
      <c r="G407" s="4"/>
    </row>
    <row r="408" spans="1:7">
      <c r="A408" s="2" t="s">
        <v>425</v>
      </c>
      <c r="B408" s="3">
        <v>45333</v>
      </c>
      <c r="C408" s="2" t="s">
        <v>27</v>
      </c>
      <c r="D408" s="2" t="s">
        <v>22</v>
      </c>
      <c r="E408" s="2" t="s">
        <v>24</v>
      </c>
      <c r="F408" s="2">
        <v>338.71</v>
      </c>
      <c r="G408" s="2">
        <v>-196.34</v>
      </c>
    </row>
    <row r="409" spans="1:7">
      <c r="A409" s="2" t="s">
        <v>426</v>
      </c>
      <c r="B409" s="3">
        <v>45334</v>
      </c>
      <c r="C409" s="2" t="s">
        <v>27</v>
      </c>
      <c r="D409" s="2"/>
      <c r="E409" s="2" t="s">
        <v>24</v>
      </c>
      <c r="F409" s="2"/>
      <c r="G409" s="2"/>
    </row>
    <row r="410" spans="1:7">
      <c r="A410" s="2" t="s">
        <v>427</v>
      </c>
      <c r="B410" s="3">
        <v>45335</v>
      </c>
      <c r="C410" s="2" t="s">
        <v>8</v>
      </c>
      <c r="D410" s="2" t="s">
        <v>32</v>
      </c>
      <c r="E410" s="2">
        <v>950.41</v>
      </c>
      <c r="F410" s="2">
        <v>-76.98</v>
      </c>
      <c r="G410" s="4"/>
    </row>
    <row r="411" spans="1:7">
      <c r="A411" s="2" t="s">
        <v>428</v>
      </c>
      <c r="B411" s="3">
        <v>45336</v>
      </c>
      <c r="C411" s="2" t="s">
        <v>13</v>
      </c>
      <c r="D411" s="2" t="s">
        <v>8</v>
      </c>
      <c r="E411" s="2" t="s">
        <v>14</v>
      </c>
      <c r="F411" s="2">
        <v>255</v>
      </c>
      <c r="G411" s="2"/>
    </row>
    <row r="412" spans="1:7">
      <c r="A412" s="2" t="s">
        <v>429</v>
      </c>
      <c r="B412" s="3">
        <v>45337</v>
      </c>
      <c r="C412" s="2" t="s">
        <v>13</v>
      </c>
      <c r="D412" s="2" t="s">
        <v>11</v>
      </c>
      <c r="E412" s="2" t="s">
        <v>24</v>
      </c>
      <c r="F412" s="2"/>
      <c r="G412" s="2">
        <v>-195.17</v>
      </c>
    </row>
    <row r="413" spans="1:7">
      <c r="A413" s="2" t="s">
        <v>430</v>
      </c>
      <c r="B413" s="3">
        <v>45338</v>
      </c>
      <c r="C413" s="2" t="s">
        <v>16</v>
      </c>
      <c r="D413" s="2" t="s">
        <v>11</v>
      </c>
      <c r="E413" s="2" t="s">
        <v>9</v>
      </c>
      <c r="F413" s="2"/>
      <c r="G413" s="2"/>
    </row>
    <row r="414" spans="1:7">
      <c r="A414" s="2" t="s">
        <v>431</v>
      </c>
      <c r="B414" s="3">
        <v>45339</v>
      </c>
      <c r="C414" s="2" t="s">
        <v>21</v>
      </c>
      <c r="D414" s="2" t="s">
        <v>11</v>
      </c>
      <c r="E414" s="2"/>
      <c r="F414" s="2"/>
      <c r="G414" s="2"/>
    </row>
    <row r="415" spans="1:7">
      <c r="A415" s="2" t="s">
        <v>432</v>
      </c>
      <c r="B415" s="3">
        <v>45340</v>
      </c>
      <c r="C415" s="2" t="s">
        <v>13</v>
      </c>
      <c r="D415" s="2" t="s">
        <v>22</v>
      </c>
      <c r="E415" s="2" t="s">
        <v>14</v>
      </c>
      <c r="F415" s="2"/>
      <c r="G415" s="2">
        <v>7.15</v>
      </c>
    </row>
    <row r="416" spans="1:7">
      <c r="A416" s="2" t="s">
        <v>433</v>
      </c>
      <c r="B416" s="3">
        <v>45341</v>
      </c>
      <c r="C416" s="2" t="s">
        <v>21</v>
      </c>
      <c r="D416" s="2"/>
      <c r="E416" s="2" t="s">
        <v>14</v>
      </c>
      <c r="F416" s="2">
        <v>966.58</v>
      </c>
      <c r="G416" s="2">
        <v>-169.24</v>
      </c>
    </row>
    <row r="417" spans="1:7">
      <c r="A417" s="2" t="s">
        <v>434</v>
      </c>
      <c r="B417" s="3">
        <v>45342</v>
      </c>
      <c r="C417" s="2" t="s">
        <v>27</v>
      </c>
      <c r="D417" s="2"/>
      <c r="E417" s="2" t="s">
        <v>24</v>
      </c>
      <c r="F417" s="2">
        <v>493.79</v>
      </c>
      <c r="G417" s="2"/>
    </row>
    <row r="418" spans="1:7">
      <c r="A418" s="2" t="s">
        <v>435</v>
      </c>
      <c r="B418" s="3">
        <v>45343</v>
      </c>
      <c r="C418" s="2" t="s">
        <v>13</v>
      </c>
      <c r="D418" s="2" t="s">
        <v>22</v>
      </c>
      <c r="E418" s="2" t="s">
        <v>9</v>
      </c>
      <c r="F418" s="2">
        <v>373.06</v>
      </c>
      <c r="G418" s="2"/>
    </row>
    <row r="419" spans="1:7">
      <c r="A419" s="2" t="s">
        <v>436</v>
      </c>
      <c r="B419" s="3">
        <v>45344</v>
      </c>
      <c r="C419" s="2" t="s">
        <v>22</v>
      </c>
      <c r="D419" s="2" t="s">
        <v>14</v>
      </c>
      <c r="E419" s="2"/>
      <c r="F419" s="2"/>
      <c r="G419" s="4"/>
    </row>
    <row r="420" spans="1:7">
      <c r="A420" s="2" t="s">
        <v>437</v>
      </c>
      <c r="B420" s="3">
        <v>45345</v>
      </c>
      <c r="C420" s="2" t="s">
        <v>27</v>
      </c>
      <c r="D420" s="2"/>
      <c r="E420" s="2" t="s">
        <v>18</v>
      </c>
      <c r="F420" s="2">
        <v>927.6</v>
      </c>
      <c r="G420" s="2">
        <v>-51.05</v>
      </c>
    </row>
    <row r="421" spans="1:7">
      <c r="A421" s="2" t="s">
        <v>438</v>
      </c>
      <c r="B421" s="3">
        <v>45346</v>
      </c>
      <c r="C421" s="2" t="s">
        <v>21</v>
      </c>
      <c r="D421" s="2" t="s">
        <v>8</v>
      </c>
      <c r="E421" s="2" t="s">
        <v>32</v>
      </c>
      <c r="F421" s="2"/>
      <c r="G421" s="2"/>
    </row>
    <row r="422" spans="1:7">
      <c r="A422" s="2" t="s">
        <v>439</v>
      </c>
      <c r="B422" s="3">
        <v>45347</v>
      </c>
      <c r="C422" s="2" t="s">
        <v>13</v>
      </c>
      <c r="D422" s="2" t="s">
        <v>11</v>
      </c>
      <c r="E422" s="2" t="s">
        <v>18</v>
      </c>
      <c r="F422" s="2"/>
      <c r="G422" s="2">
        <v>31.44</v>
      </c>
    </row>
    <row r="423" spans="1:7">
      <c r="A423" s="2" t="s">
        <v>440</v>
      </c>
      <c r="B423" s="3">
        <v>45348</v>
      </c>
      <c r="C423" s="2" t="s">
        <v>21</v>
      </c>
      <c r="D423" s="2" t="s">
        <v>22</v>
      </c>
      <c r="E423" s="2" t="s">
        <v>24</v>
      </c>
      <c r="F423" s="2">
        <v>861.45</v>
      </c>
      <c r="G423" s="2"/>
    </row>
    <row r="424" spans="1:7">
      <c r="A424" s="2" t="s">
        <v>441</v>
      </c>
      <c r="B424" s="3">
        <v>45349</v>
      </c>
      <c r="C424" s="2" t="s">
        <v>21</v>
      </c>
      <c r="D424" s="2" t="s">
        <v>11</v>
      </c>
      <c r="E424" s="2" t="s">
        <v>14</v>
      </c>
      <c r="F424" s="2">
        <v>817.66</v>
      </c>
      <c r="G424" s="2"/>
    </row>
    <row r="425" spans="1:7">
      <c r="A425" s="2" t="s">
        <v>442</v>
      </c>
      <c r="B425" s="3">
        <v>45350</v>
      </c>
      <c r="C425" s="2" t="s">
        <v>16</v>
      </c>
      <c r="D425" s="2" t="s">
        <v>8</v>
      </c>
      <c r="E425" s="2"/>
      <c r="F425" s="2"/>
      <c r="G425" s="4"/>
    </row>
    <row r="426" spans="1:7">
      <c r="A426" s="2" t="s">
        <v>443</v>
      </c>
      <c r="B426" s="3">
        <v>45351</v>
      </c>
      <c r="C426" s="2" t="s">
        <v>21</v>
      </c>
      <c r="D426" s="2"/>
      <c r="E426" s="2" t="s">
        <v>9</v>
      </c>
      <c r="F426" s="2"/>
      <c r="G426" s="2">
        <v>138.19999999999999</v>
      </c>
    </row>
    <row r="427" spans="1:7">
      <c r="A427" s="2" t="s">
        <v>444</v>
      </c>
      <c r="B427" s="3">
        <v>45352</v>
      </c>
      <c r="C427" s="2" t="s">
        <v>27</v>
      </c>
      <c r="D427" s="2" t="s">
        <v>22</v>
      </c>
      <c r="E427" s="2" t="s">
        <v>32</v>
      </c>
      <c r="F427" s="2">
        <v>622.88</v>
      </c>
      <c r="G427" s="2"/>
    </row>
    <row r="428" spans="1:7">
      <c r="A428" s="2" t="s">
        <v>445</v>
      </c>
      <c r="B428" s="3">
        <v>45353</v>
      </c>
      <c r="C428" s="2" t="s">
        <v>8</v>
      </c>
      <c r="D428" s="2" t="s">
        <v>32</v>
      </c>
      <c r="E428" s="2">
        <v>130.37</v>
      </c>
      <c r="F428" s="2">
        <v>-10.62</v>
      </c>
      <c r="G428" s="4"/>
    </row>
    <row r="429" spans="1:7">
      <c r="A429" s="2" t="s">
        <v>446</v>
      </c>
      <c r="B429" s="3">
        <v>45354</v>
      </c>
      <c r="C429" s="2" t="s">
        <v>27</v>
      </c>
      <c r="D429" s="2" t="s">
        <v>8</v>
      </c>
      <c r="E429" s="2" t="s">
        <v>9</v>
      </c>
      <c r="F429" s="2"/>
      <c r="G429" s="2"/>
    </row>
    <row r="430" spans="1:7">
      <c r="A430" s="2" t="s">
        <v>447</v>
      </c>
      <c r="B430" s="3">
        <v>45355</v>
      </c>
      <c r="C430" s="2"/>
      <c r="D430" s="2" t="s">
        <v>32</v>
      </c>
      <c r="E430" s="2">
        <v>963.2</v>
      </c>
      <c r="F430" s="2"/>
      <c r="G430" s="4"/>
    </row>
    <row r="431" spans="1:7">
      <c r="A431" s="2" t="s">
        <v>448</v>
      </c>
      <c r="B431" s="3">
        <v>45356</v>
      </c>
      <c r="C431" s="2" t="s">
        <v>22</v>
      </c>
      <c r="D431" s="2" t="s">
        <v>32</v>
      </c>
      <c r="E431" s="2">
        <v>214.09</v>
      </c>
      <c r="F431" s="2"/>
      <c r="G431" s="4"/>
    </row>
    <row r="432" spans="1:7">
      <c r="A432" s="2" t="s">
        <v>449</v>
      </c>
      <c r="B432" s="3">
        <v>45357</v>
      </c>
      <c r="C432" s="2" t="s">
        <v>13</v>
      </c>
      <c r="D432" s="2" t="s">
        <v>22</v>
      </c>
      <c r="E432" s="2" t="s">
        <v>18</v>
      </c>
      <c r="F432" s="2"/>
      <c r="G432" s="2"/>
    </row>
    <row r="433" spans="1:7">
      <c r="A433" s="2" t="s">
        <v>450</v>
      </c>
      <c r="B433" s="3">
        <v>45358</v>
      </c>
      <c r="C433" s="2" t="s">
        <v>13</v>
      </c>
      <c r="D433" s="2" t="s">
        <v>8</v>
      </c>
      <c r="E433" s="2" t="s">
        <v>32</v>
      </c>
      <c r="F433" s="2">
        <v>278.18</v>
      </c>
      <c r="G433" s="2">
        <v>-162.9</v>
      </c>
    </row>
    <row r="434" spans="1:7">
      <c r="A434" s="2" t="s">
        <v>451</v>
      </c>
      <c r="B434" s="3">
        <v>45359</v>
      </c>
      <c r="C434" s="2" t="s">
        <v>11</v>
      </c>
      <c r="D434" s="2" t="s">
        <v>14</v>
      </c>
      <c r="E434" s="2">
        <v>270.22000000000003</v>
      </c>
      <c r="F434" s="2">
        <v>-91.98</v>
      </c>
      <c r="G434" s="4"/>
    </row>
    <row r="435" spans="1:7">
      <c r="A435" s="2" t="s">
        <v>452</v>
      </c>
      <c r="B435" s="3">
        <v>45360</v>
      </c>
      <c r="C435" s="2" t="s">
        <v>13</v>
      </c>
      <c r="D435" s="2" t="s">
        <v>22</v>
      </c>
      <c r="E435" s="2" t="s">
        <v>24</v>
      </c>
      <c r="F435" s="2">
        <v>414.69</v>
      </c>
      <c r="G435" s="2"/>
    </row>
    <row r="436" spans="1:7">
      <c r="A436" s="2" t="s">
        <v>453</v>
      </c>
      <c r="B436" s="3">
        <v>45361</v>
      </c>
      <c r="C436" s="2" t="s">
        <v>16</v>
      </c>
      <c r="D436" s="2"/>
      <c r="E436" s="2" t="s">
        <v>9</v>
      </c>
      <c r="F436" s="2">
        <v>750.48</v>
      </c>
      <c r="G436" s="2">
        <v>-153.57</v>
      </c>
    </row>
    <row r="437" spans="1:7">
      <c r="A437" s="2" t="s">
        <v>454</v>
      </c>
      <c r="B437" s="3">
        <v>45362</v>
      </c>
      <c r="C437" s="2" t="s">
        <v>13</v>
      </c>
      <c r="D437" s="2" t="s">
        <v>8</v>
      </c>
      <c r="E437" s="2" t="s">
        <v>18</v>
      </c>
      <c r="F437" s="2"/>
      <c r="G437" s="2"/>
    </row>
    <row r="438" spans="1:7">
      <c r="A438" s="2" t="s">
        <v>455</v>
      </c>
      <c r="B438" s="3">
        <v>45363</v>
      </c>
      <c r="C438" s="2" t="s">
        <v>16</v>
      </c>
      <c r="D438" s="2"/>
      <c r="E438" s="2" t="s">
        <v>14</v>
      </c>
      <c r="F438" s="2"/>
      <c r="G438" s="2"/>
    </row>
    <row r="439" spans="1:7">
      <c r="A439" s="2" t="s">
        <v>456</v>
      </c>
      <c r="B439" s="3">
        <v>45364</v>
      </c>
      <c r="C439" s="2" t="s">
        <v>27</v>
      </c>
      <c r="D439" s="2" t="s">
        <v>22</v>
      </c>
      <c r="E439" s="2" t="s">
        <v>24</v>
      </c>
      <c r="F439" s="2"/>
      <c r="G439" s="2"/>
    </row>
    <row r="440" spans="1:7">
      <c r="A440" s="2" t="s">
        <v>457</v>
      </c>
      <c r="B440" s="3">
        <v>45365</v>
      </c>
      <c r="C440" s="2" t="s">
        <v>16</v>
      </c>
      <c r="D440" s="2"/>
      <c r="E440" s="2"/>
      <c r="F440" s="2">
        <v>687.16</v>
      </c>
      <c r="G440" s="2"/>
    </row>
    <row r="441" spans="1:7">
      <c r="A441" s="2" t="s">
        <v>458</v>
      </c>
      <c r="B441" s="3">
        <v>45366</v>
      </c>
      <c r="C441" s="2" t="s">
        <v>27</v>
      </c>
      <c r="D441" s="2" t="s">
        <v>8</v>
      </c>
      <c r="E441" s="2" t="s">
        <v>9</v>
      </c>
      <c r="F441" s="2"/>
      <c r="G441" s="2"/>
    </row>
    <row r="442" spans="1:7">
      <c r="A442" s="2" t="s">
        <v>459</v>
      </c>
      <c r="B442" s="3">
        <v>45367</v>
      </c>
      <c r="C442" s="2" t="s">
        <v>27</v>
      </c>
      <c r="D442" s="2"/>
      <c r="E442" s="2"/>
      <c r="F442" s="2">
        <v>851.29</v>
      </c>
      <c r="G442" s="2"/>
    </row>
    <row r="443" spans="1:7">
      <c r="A443" s="2" t="s">
        <v>460</v>
      </c>
      <c r="B443" s="3">
        <v>45368</v>
      </c>
      <c r="C443" s="2" t="s">
        <v>27</v>
      </c>
      <c r="D443" s="2" t="s">
        <v>11</v>
      </c>
      <c r="E443" s="2"/>
      <c r="F443" s="2"/>
      <c r="G443" s="2">
        <v>-48.27</v>
      </c>
    </row>
    <row r="444" spans="1:7">
      <c r="A444" s="2" t="s">
        <v>461</v>
      </c>
      <c r="B444" s="3">
        <v>45369</v>
      </c>
      <c r="C444" s="2" t="s">
        <v>13</v>
      </c>
      <c r="D444" s="2" t="s">
        <v>22</v>
      </c>
      <c r="E444" s="2" t="s">
        <v>18</v>
      </c>
      <c r="F444" s="2"/>
      <c r="G444" s="2"/>
    </row>
    <row r="445" spans="1:7">
      <c r="A445" s="2" t="s">
        <v>462</v>
      </c>
      <c r="B445" s="3">
        <v>45370</v>
      </c>
      <c r="C445" s="2" t="s">
        <v>13</v>
      </c>
      <c r="D445" s="2"/>
      <c r="E445" s="2"/>
      <c r="F445" s="2"/>
      <c r="G445" s="2">
        <v>-192.63</v>
      </c>
    </row>
    <row r="446" spans="1:7">
      <c r="A446" s="2" t="s">
        <v>463</v>
      </c>
      <c r="B446" s="3">
        <v>45371</v>
      </c>
      <c r="C446" s="2" t="s">
        <v>21</v>
      </c>
      <c r="D446" s="2" t="s">
        <v>8</v>
      </c>
      <c r="E446" s="2" t="s">
        <v>14</v>
      </c>
      <c r="F446" s="2"/>
      <c r="G446" s="2">
        <v>193.69</v>
      </c>
    </row>
    <row r="447" spans="1:7">
      <c r="A447" s="2" t="s">
        <v>464</v>
      </c>
      <c r="B447" s="3">
        <v>45372</v>
      </c>
      <c r="C447" s="2" t="s">
        <v>22</v>
      </c>
      <c r="D447" s="2" t="s">
        <v>9</v>
      </c>
      <c r="E447" s="2"/>
      <c r="F447" s="2">
        <v>-40.6</v>
      </c>
      <c r="G447" s="4"/>
    </row>
    <row r="448" spans="1:7">
      <c r="A448" s="2" t="s">
        <v>465</v>
      </c>
      <c r="B448" s="3">
        <v>45373</v>
      </c>
      <c r="C448" s="2" t="s">
        <v>27</v>
      </c>
      <c r="D448" s="2"/>
      <c r="E448" s="2"/>
      <c r="F448" s="2">
        <v>941.9</v>
      </c>
      <c r="G448" s="2"/>
    </row>
    <row r="449" spans="1:7">
      <c r="A449" s="2" t="s">
        <v>466</v>
      </c>
      <c r="B449" s="3">
        <v>45374</v>
      </c>
      <c r="C449" s="2" t="s">
        <v>21</v>
      </c>
      <c r="D449" s="2" t="s">
        <v>22</v>
      </c>
      <c r="E449" s="2"/>
      <c r="F449" s="2"/>
      <c r="G449" s="2"/>
    </row>
    <row r="450" spans="1:7">
      <c r="A450" s="2" t="s">
        <v>467</v>
      </c>
      <c r="B450" s="3">
        <v>45375</v>
      </c>
      <c r="C450" s="2" t="s">
        <v>27</v>
      </c>
      <c r="D450" s="2" t="s">
        <v>8</v>
      </c>
      <c r="E450" s="2" t="s">
        <v>32</v>
      </c>
      <c r="F450" s="2">
        <v>157.6</v>
      </c>
      <c r="G450" s="2">
        <v>141.57</v>
      </c>
    </row>
    <row r="451" spans="1:7">
      <c r="A451" s="2" t="s">
        <v>468</v>
      </c>
      <c r="B451" s="3">
        <v>45376</v>
      </c>
      <c r="C451" s="2" t="s">
        <v>8</v>
      </c>
      <c r="D451" s="2" t="s">
        <v>32</v>
      </c>
      <c r="E451" s="2">
        <v>585.04</v>
      </c>
      <c r="F451" s="2">
        <v>53.95</v>
      </c>
      <c r="G451" s="4"/>
    </row>
    <row r="452" spans="1:7">
      <c r="A452" s="2" t="s">
        <v>469</v>
      </c>
      <c r="B452" s="3">
        <v>45377</v>
      </c>
      <c r="C452" s="2" t="s">
        <v>13</v>
      </c>
      <c r="D452" s="2" t="s">
        <v>22</v>
      </c>
      <c r="E452" s="2" t="s">
        <v>9</v>
      </c>
      <c r="F452" s="2"/>
      <c r="G452" s="2"/>
    </row>
    <row r="453" spans="1:7">
      <c r="A453" s="2" t="s">
        <v>470</v>
      </c>
      <c r="B453" s="3">
        <v>45378</v>
      </c>
      <c r="C453" s="2" t="s">
        <v>27</v>
      </c>
      <c r="D453" s="2" t="s">
        <v>8</v>
      </c>
      <c r="E453" s="2" t="s">
        <v>14</v>
      </c>
      <c r="F453" s="2">
        <v>577.25</v>
      </c>
      <c r="G453" s="2"/>
    </row>
    <row r="454" spans="1:7">
      <c r="A454" s="2" t="s">
        <v>471</v>
      </c>
      <c r="B454" s="3">
        <v>45379</v>
      </c>
      <c r="C454" s="2" t="s">
        <v>13</v>
      </c>
      <c r="D454" s="2" t="s">
        <v>22</v>
      </c>
      <c r="E454" s="2" t="s">
        <v>32</v>
      </c>
      <c r="F454" s="2"/>
      <c r="G454" s="2">
        <v>29.8</v>
      </c>
    </row>
    <row r="455" spans="1:7">
      <c r="A455" s="2" t="s">
        <v>472</v>
      </c>
      <c r="B455" s="3">
        <v>45380</v>
      </c>
      <c r="C455" s="2" t="s">
        <v>8</v>
      </c>
      <c r="D455" s="2" t="s">
        <v>18</v>
      </c>
      <c r="E455" s="2"/>
      <c r="F455" s="2"/>
      <c r="G455" s="4"/>
    </row>
    <row r="456" spans="1:7">
      <c r="A456" s="2" t="s">
        <v>473</v>
      </c>
      <c r="B456" s="3">
        <v>45381</v>
      </c>
      <c r="C456" s="2" t="s">
        <v>22</v>
      </c>
      <c r="D456" s="2"/>
      <c r="E456" s="2"/>
      <c r="F456" s="2">
        <v>171.38</v>
      </c>
      <c r="G456" s="4"/>
    </row>
    <row r="457" spans="1:7">
      <c r="A457" s="2" t="s">
        <v>474</v>
      </c>
      <c r="B457" s="3">
        <v>45382</v>
      </c>
      <c r="C457" s="2" t="s">
        <v>13</v>
      </c>
      <c r="D457" s="2" t="s">
        <v>11</v>
      </c>
      <c r="E457" s="2" t="s">
        <v>24</v>
      </c>
      <c r="F457" s="2">
        <v>487.88</v>
      </c>
      <c r="G457" s="2"/>
    </row>
    <row r="458" spans="1:7">
      <c r="A458" s="2" t="s">
        <v>475</v>
      </c>
      <c r="B458" s="3">
        <v>45383</v>
      </c>
      <c r="C458" s="2" t="s">
        <v>21</v>
      </c>
      <c r="D458" s="2"/>
      <c r="E458" s="2" t="s">
        <v>14</v>
      </c>
      <c r="F458" s="2">
        <v>871.21</v>
      </c>
      <c r="G458" s="2"/>
    </row>
    <row r="459" spans="1:7">
      <c r="A459" s="2" t="s">
        <v>476</v>
      </c>
      <c r="B459" s="3">
        <v>45384</v>
      </c>
      <c r="C459" s="2" t="s">
        <v>13</v>
      </c>
      <c r="D459" s="2" t="s">
        <v>11</v>
      </c>
      <c r="E459" s="2"/>
      <c r="F459" s="2">
        <v>598.35</v>
      </c>
      <c r="G459" s="2"/>
    </row>
    <row r="460" spans="1:7">
      <c r="A460" s="2" t="s">
        <v>477</v>
      </c>
      <c r="B460" s="3">
        <v>45385</v>
      </c>
      <c r="C460" s="2" t="s">
        <v>13</v>
      </c>
      <c r="D460" s="2" t="s">
        <v>22</v>
      </c>
      <c r="E460" s="2" t="s">
        <v>18</v>
      </c>
      <c r="F460" s="2">
        <v>830.05</v>
      </c>
      <c r="G460" s="2"/>
    </row>
    <row r="461" spans="1:7">
      <c r="A461" s="2" t="s">
        <v>478</v>
      </c>
      <c r="B461" s="3">
        <v>45386</v>
      </c>
      <c r="C461" s="2" t="s">
        <v>21</v>
      </c>
      <c r="D461" s="2"/>
      <c r="E461" s="2" t="s">
        <v>9</v>
      </c>
      <c r="F461" s="2"/>
      <c r="G461" s="2"/>
    </row>
    <row r="462" spans="1:7">
      <c r="A462" s="2" t="s">
        <v>479</v>
      </c>
      <c r="B462" s="3">
        <v>45387</v>
      </c>
      <c r="C462" s="2" t="s">
        <v>16</v>
      </c>
      <c r="D462" s="2" t="s">
        <v>11</v>
      </c>
      <c r="E462" s="2" t="s">
        <v>9</v>
      </c>
      <c r="F462" s="2"/>
      <c r="G462" s="2"/>
    </row>
    <row r="463" spans="1:7">
      <c r="A463" s="2" t="s">
        <v>480</v>
      </c>
      <c r="B463" s="3">
        <v>45388</v>
      </c>
      <c r="C463" s="2" t="s">
        <v>21</v>
      </c>
      <c r="D463" s="2" t="s">
        <v>8</v>
      </c>
      <c r="E463" s="2" t="s">
        <v>18</v>
      </c>
      <c r="F463" s="2">
        <v>373.15</v>
      </c>
      <c r="G463" s="2"/>
    </row>
    <row r="464" spans="1:7">
      <c r="A464" s="2" t="s">
        <v>481</v>
      </c>
      <c r="B464" s="3">
        <v>45389</v>
      </c>
      <c r="C464" s="2"/>
      <c r="D464" s="2" t="s">
        <v>32</v>
      </c>
      <c r="E464" s="2">
        <v>737.63</v>
      </c>
      <c r="F464" s="2"/>
      <c r="G464" s="4"/>
    </row>
    <row r="465" spans="1:7">
      <c r="A465" s="2" t="s">
        <v>482</v>
      </c>
      <c r="B465" s="3">
        <v>45390</v>
      </c>
      <c r="C465" s="2" t="s">
        <v>13</v>
      </c>
      <c r="D465" s="2" t="s">
        <v>11</v>
      </c>
      <c r="E465" s="2" t="s">
        <v>32</v>
      </c>
      <c r="F465" s="2">
        <v>487.55</v>
      </c>
      <c r="G465" s="2"/>
    </row>
    <row r="466" spans="1:7">
      <c r="A466" s="2" t="s">
        <v>483</v>
      </c>
      <c r="B466" s="3">
        <v>45391</v>
      </c>
      <c r="C466" s="2" t="s">
        <v>27</v>
      </c>
      <c r="D466" s="2" t="s">
        <v>11</v>
      </c>
      <c r="E466" s="2" t="s">
        <v>32</v>
      </c>
      <c r="F466" s="2"/>
      <c r="G466" s="2"/>
    </row>
    <row r="467" spans="1:7">
      <c r="A467" s="2" t="s">
        <v>484</v>
      </c>
      <c r="B467" s="3">
        <v>45392</v>
      </c>
      <c r="C467" s="2" t="s">
        <v>21</v>
      </c>
      <c r="D467" s="2"/>
      <c r="E467" s="2" t="s">
        <v>24</v>
      </c>
      <c r="F467" s="2">
        <v>938.88</v>
      </c>
      <c r="G467" s="2">
        <v>-31.47</v>
      </c>
    </row>
    <row r="468" spans="1:7">
      <c r="A468" s="2" t="s">
        <v>485</v>
      </c>
      <c r="B468" s="3">
        <v>45393</v>
      </c>
      <c r="C468" s="2" t="s">
        <v>8</v>
      </c>
      <c r="D468" s="2" t="s">
        <v>18</v>
      </c>
      <c r="E468" s="2"/>
      <c r="F468" s="2">
        <v>-49.78</v>
      </c>
      <c r="G468" s="4"/>
    </row>
    <row r="469" spans="1:7">
      <c r="A469" s="2" t="s">
        <v>486</v>
      </c>
      <c r="B469" s="3">
        <v>45394</v>
      </c>
      <c r="C469" s="2" t="s">
        <v>8</v>
      </c>
      <c r="D469" s="2" t="s">
        <v>24</v>
      </c>
      <c r="E469" s="2"/>
      <c r="F469" s="2"/>
      <c r="G469" s="4"/>
    </row>
    <row r="470" spans="1:7">
      <c r="A470" s="2" t="s">
        <v>487</v>
      </c>
      <c r="B470" s="3">
        <v>45395</v>
      </c>
      <c r="C470" s="2" t="s">
        <v>13</v>
      </c>
      <c r="D470" s="2" t="s">
        <v>8</v>
      </c>
      <c r="E470" s="2" t="s">
        <v>14</v>
      </c>
      <c r="F470" s="2">
        <v>595.44000000000005</v>
      </c>
      <c r="G470" s="2"/>
    </row>
    <row r="471" spans="1:7">
      <c r="A471" s="2" t="s">
        <v>488</v>
      </c>
      <c r="B471" s="3">
        <v>45396</v>
      </c>
      <c r="C471" s="2" t="s">
        <v>13</v>
      </c>
      <c r="D471" s="2" t="s">
        <v>11</v>
      </c>
      <c r="E471" s="2" t="s">
        <v>14</v>
      </c>
      <c r="F471" s="2"/>
      <c r="G471" s="2"/>
    </row>
    <row r="472" spans="1:7">
      <c r="A472" s="2" t="s">
        <v>489</v>
      </c>
      <c r="B472" s="3">
        <v>45397</v>
      </c>
      <c r="C472" s="2" t="s">
        <v>16</v>
      </c>
      <c r="D472" s="2" t="s">
        <v>11</v>
      </c>
      <c r="E472" s="2" t="s">
        <v>18</v>
      </c>
      <c r="F472" s="2">
        <v>163.69999999999999</v>
      </c>
      <c r="G472" s="2"/>
    </row>
    <row r="473" spans="1:7">
      <c r="A473" s="2" t="s">
        <v>490</v>
      </c>
      <c r="B473" s="3">
        <v>45398</v>
      </c>
      <c r="C473" s="2" t="s">
        <v>21</v>
      </c>
      <c r="D473" s="2"/>
      <c r="E473" s="2" t="s">
        <v>24</v>
      </c>
      <c r="F473" s="2">
        <v>880.24</v>
      </c>
      <c r="G473" s="2"/>
    </row>
    <row r="474" spans="1:7">
      <c r="A474" s="2" t="s">
        <v>491</v>
      </c>
      <c r="B474" s="3">
        <v>45399</v>
      </c>
      <c r="C474" s="2" t="s">
        <v>16</v>
      </c>
      <c r="D474" s="2" t="s">
        <v>8</v>
      </c>
      <c r="E474" s="2" t="s">
        <v>32</v>
      </c>
      <c r="F474" s="2">
        <v>617.37</v>
      </c>
      <c r="G474" s="2">
        <v>239.75</v>
      </c>
    </row>
    <row r="475" spans="1:7">
      <c r="A475" s="2" t="s">
        <v>492</v>
      </c>
      <c r="B475" s="3">
        <v>45400</v>
      </c>
      <c r="C475" s="2" t="s">
        <v>21</v>
      </c>
      <c r="D475" s="2" t="s">
        <v>8</v>
      </c>
      <c r="E475" s="2" t="s">
        <v>24</v>
      </c>
      <c r="F475" s="2">
        <v>606.65</v>
      </c>
      <c r="G475" s="2">
        <v>-9.4600000000000009</v>
      </c>
    </row>
    <row r="476" spans="1:7">
      <c r="A476" s="2" t="s">
        <v>493</v>
      </c>
      <c r="B476" s="3">
        <v>45401</v>
      </c>
      <c r="C476" s="2" t="s">
        <v>21</v>
      </c>
      <c r="D476" s="2" t="s">
        <v>11</v>
      </c>
      <c r="E476" s="2" t="s">
        <v>14</v>
      </c>
      <c r="F476" s="2"/>
      <c r="G476" s="2"/>
    </row>
    <row r="477" spans="1:7">
      <c r="A477" s="2" t="s">
        <v>494</v>
      </c>
      <c r="B477" s="3">
        <v>45402</v>
      </c>
      <c r="C477" s="2" t="s">
        <v>16</v>
      </c>
      <c r="D477" s="2" t="s">
        <v>22</v>
      </c>
      <c r="E477" s="2"/>
      <c r="F477" s="2">
        <v>471.98</v>
      </c>
      <c r="G477" s="2">
        <v>171.9</v>
      </c>
    </row>
    <row r="478" spans="1:7">
      <c r="A478" s="2" t="s">
        <v>495</v>
      </c>
      <c r="B478" s="3">
        <v>45403</v>
      </c>
      <c r="C478" s="2" t="s">
        <v>16</v>
      </c>
      <c r="D478" s="2" t="s">
        <v>22</v>
      </c>
      <c r="E478" s="2" t="s">
        <v>18</v>
      </c>
      <c r="F478" s="2"/>
      <c r="G478" s="2">
        <v>192.39</v>
      </c>
    </row>
    <row r="479" spans="1:7">
      <c r="A479" s="2" t="s">
        <v>496</v>
      </c>
      <c r="B479" s="3">
        <v>45404</v>
      </c>
      <c r="C479" s="2"/>
      <c r="D479" s="2" t="s">
        <v>18</v>
      </c>
      <c r="E479" s="2"/>
      <c r="F479" s="2"/>
      <c r="G479" s="4"/>
    </row>
    <row r="480" spans="1:7">
      <c r="A480" s="2" t="s">
        <v>497</v>
      </c>
      <c r="B480" s="3">
        <v>45405</v>
      </c>
      <c r="C480" s="2" t="s">
        <v>27</v>
      </c>
      <c r="D480" s="2" t="s">
        <v>8</v>
      </c>
      <c r="E480" s="2" t="s">
        <v>32</v>
      </c>
      <c r="F480" s="2">
        <v>329.89</v>
      </c>
      <c r="G480" s="2">
        <v>282.20999999999998</v>
      </c>
    </row>
    <row r="481" spans="1:7">
      <c r="A481" s="2" t="s">
        <v>498</v>
      </c>
      <c r="B481" s="3">
        <v>45406</v>
      </c>
      <c r="C481" s="2" t="s">
        <v>16</v>
      </c>
      <c r="D481" s="2"/>
      <c r="E481" s="2"/>
      <c r="F481" s="2">
        <v>663.6</v>
      </c>
      <c r="G481" s="2"/>
    </row>
    <row r="482" spans="1:7">
      <c r="A482" s="2" t="s">
        <v>499</v>
      </c>
      <c r="B482" s="3">
        <v>45407</v>
      </c>
      <c r="C482" s="2" t="s">
        <v>27</v>
      </c>
      <c r="D482" s="2" t="s">
        <v>22</v>
      </c>
      <c r="E482" s="2" t="s">
        <v>24</v>
      </c>
      <c r="F482" s="2">
        <v>976.57</v>
      </c>
      <c r="G482" s="2"/>
    </row>
    <row r="483" spans="1:7">
      <c r="A483" s="2" t="s">
        <v>500</v>
      </c>
      <c r="B483" s="3">
        <v>45408</v>
      </c>
      <c r="C483" s="2"/>
      <c r="D483" s="2" t="s">
        <v>24</v>
      </c>
      <c r="E483" s="2">
        <v>447.42</v>
      </c>
      <c r="F483" s="2"/>
      <c r="G483" s="4"/>
    </row>
    <row r="484" spans="1:7">
      <c r="A484" s="2" t="s">
        <v>501</v>
      </c>
      <c r="B484" s="3">
        <v>45409</v>
      </c>
      <c r="C484" s="2" t="s">
        <v>16</v>
      </c>
      <c r="D484" s="2" t="s">
        <v>11</v>
      </c>
      <c r="E484" s="2" t="s">
        <v>9</v>
      </c>
      <c r="F484" s="2">
        <v>639.41</v>
      </c>
      <c r="G484" s="2">
        <v>69.36</v>
      </c>
    </row>
    <row r="485" spans="1:7">
      <c r="A485" s="2" t="s">
        <v>502</v>
      </c>
      <c r="B485" s="3">
        <v>45410</v>
      </c>
      <c r="C485" s="2" t="s">
        <v>21</v>
      </c>
      <c r="D485" s="2" t="s">
        <v>8</v>
      </c>
      <c r="E485" s="2" t="s">
        <v>18</v>
      </c>
      <c r="F485" s="2"/>
      <c r="G485" s="2"/>
    </row>
    <row r="486" spans="1:7">
      <c r="A486" s="2" t="s">
        <v>503</v>
      </c>
      <c r="B486" s="3">
        <v>45411</v>
      </c>
      <c r="C486" s="2" t="s">
        <v>21</v>
      </c>
      <c r="D486" s="2" t="s">
        <v>11</v>
      </c>
      <c r="E486" s="2" t="s">
        <v>18</v>
      </c>
      <c r="F486" s="2"/>
      <c r="G486" s="2">
        <v>170.62</v>
      </c>
    </row>
    <row r="487" spans="1:7">
      <c r="A487" s="2" t="s">
        <v>504</v>
      </c>
      <c r="B487" s="3">
        <v>45412</v>
      </c>
      <c r="C487" s="2" t="s">
        <v>21</v>
      </c>
      <c r="D487" s="2" t="s">
        <v>22</v>
      </c>
      <c r="E487" s="2" t="s">
        <v>18</v>
      </c>
      <c r="F487" s="2">
        <v>819.2</v>
      </c>
      <c r="G487" s="2">
        <v>-177.89</v>
      </c>
    </row>
    <row r="488" spans="1:7">
      <c r="A488" s="2" t="s">
        <v>505</v>
      </c>
      <c r="B488" s="3">
        <v>45413</v>
      </c>
      <c r="C488" s="2" t="s">
        <v>21</v>
      </c>
      <c r="D488" s="2" t="s">
        <v>22</v>
      </c>
      <c r="E488" s="2" t="s">
        <v>18</v>
      </c>
      <c r="F488" s="2">
        <v>726.24</v>
      </c>
      <c r="G488" s="2">
        <v>275.08</v>
      </c>
    </row>
    <row r="489" spans="1:7">
      <c r="A489" s="2" t="s">
        <v>506</v>
      </c>
      <c r="B489" s="3">
        <v>45414</v>
      </c>
      <c r="C489" s="2" t="s">
        <v>21</v>
      </c>
      <c r="D489" s="2" t="s">
        <v>8</v>
      </c>
      <c r="E489" s="2" t="s">
        <v>14</v>
      </c>
      <c r="F489" s="2">
        <v>513.44000000000005</v>
      </c>
      <c r="G489" s="2">
        <v>-134.30000000000001</v>
      </c>
    </row>
    <row r="490" spans="1:7">
      <c r="A490" s="2" t="s">
        <v>507</v>
      </c>
      <c r="B490" s="3">
        <v>45415</v>
      </c>
      <c r="C490" s="2" t="s">
        <v>13</v>
      </c>
      <c r="D490" s="2" t="s">
        <v>8</v>
      </c>
      <c r="E490" s="2" t="s">
        <v>24</v>
      </c>
      <c r="F490" s="2"/>
      <c r="G490" s="2"/>
    </row>
    <row r="491" spans="1:7">
      <c r="A491" s="2" t="s">
        <v>508</v>
      </c>
      <c r="B491" s="3">
        <v>45416</v>
      </c>
      <c r="C491" s="2" t="s">
        <v>11</v>
      </c>
      <c r="D491" s="2" t="s">
        <v>24</v>
      </c>
      <c r="E491" s="2">
        <v>54.56</v>
      </c>
      <c r="F491" s="2"/>
      <c r="G491" s="4"/>
    </row>
    <row r="492" spans="1:7">
      <c r="A492" s="2" t="s">
        <v>509</v>
      </c>
      <c r="B492" s="3">
        <v>45417</v>
      </c>
      <c r="C492" s="2" t="s">
        <v>27</v>
      </c>
      <c r="D492" s="2"/>
      <c r="E492" s="2" t="s">
        <v>14</v>
      </c>
      <c r="F492" s="2">
        <v>143.52000000000001</v>
      </c>
      <c r="G492" s="2">
        <v>-40.58</v>
      </c>
    </row>
    <row r="493" spans="1:7">
      <c r="A493" s="2" t="s">
        <v>510</v>
      </c>
      <c r="B493" s="3">
        <v>45418</v>
      </c>
      <c r="C493" s="2" t="s">
        <v>13</v>
      </c>
      <c r="D493" s="2" t="s">
        <v>22</v>
      </c>
      <c r="E493" s="2"/>
      <c r="F493" s="2"/>
      <c r="G493" s="2">
        <v>98.91</v>
      </c>
    </row>
    <row r="494" spans="1:7">
      <c r="A494" s="2" t="s">
        <v>511</v>
      </c>
      <c r="B494" s="3">
        <v>45419</v>
      </c>
      <c r="C494" s="2" t="s">
        <v>16</v>
      </c>
      <c r="D494" s="2" t="s">
        <v>11</v>
      </c>
      <c r="E494" s="2" t="s">
        <v>9</v>
      </c>
      <c r="F494" s="2"/>
      <c r="G494" s="2">
        <v>-129.46</v>
      </c>
    </row>
    <row r="495" spans="1:7">
      <c r="A495" s="2" t="s">
        <v>512</v>
      </c>
      <c r="B495" s="3">
        <v>45420</v>
      </c>
      <c r="C495" s="2" t="s">
        <v>22</v>
      </c>
      <c r="D495" s="2" t="s">
        <v>18</v>
      </c>
      <c r="E495" s="2"/>
      <c r="F495" s="2">
        <v>80.64</v>
      </c>
      <c r="G495" s="4"/>
    </row>
    <row r="496" spans="1:7">
      <c r="A496" s="2" t="s">
        <v>513</v>
      </c>
      <c r="B496" s="3">
        <v>45421</v>
      </c>
      <c r="C496" s="2" t="s">
        <v>16</v>
      </c>
      <c r="D496" s="2" t="s">
        <v>22</v>
      </c>
      <c r="E496" s="2" t="s">
        <v>9</v>
      </c>
      <c r="F496" s="2"/>
      <c r="G496" s="2"/>
    </row>
    <row r="497" spans="1:7">
      <c r="A497" s="2" t="s">
        <v>514</v>
      </c>
      <c r="B497" s="3">
        <v>45422</v>
      </c>
      <c r="C497" s="2" t="s">
        <v>16</v>
      </c>
      <c r="D497" s="2" t="s">
        <v>22</v>
      </c>
      <c r="E497" s="2" t="s">
        <v>9</v>
      </c>
      <c r="F497" s="2">
        <v>127.31</v>
      </c>
      <c r="G497" s="2">
        <v>154.19</v>
      </c>
    </row>
    <row r="498" spans="1:7">
      <c r="A498" s="2" t="s">
        <v>515</v>
      </c>
      <c r="B498" s="3">
        <v>45423</v>
      </c>
      <c r="C498" s="2" t="s">
        <v>21</v>
      </c>
      <c r="D498" s="2"/>
      <c r="E498" s="2" t="s">
        <v>14</v>
      </c>
      <c r="F498" s="2">
        <v>877.78</v>
      </c>
      <c r="G498" s="2"/>
    </row>
    <row r="499" spans="1:7">
      <c r="A499" s="2" t="s">
        <v>516</v>
      </c>
      <c r="B499" s="3">
        <v>45424</v>
      </c>
      <c r="C499" s="2" t="s">
        <v>16</v>
      </c>
      <c r="D499" s="2" t="s">
        <v>22</v>
      </c>
      <c r="E499" s="2" t="s">
        <v>9</v>
      </c>
      <c r="F499" s="2">
        <v>190.92</v>
      </c>
      <c r="G499" s="2"/>
    </row>
    <row r="500" spans="1:7">
      <c r="A500" s="2" t="s">
        <v>517</v>
      </c>
      <c r="B500" s="3">
        <v>45425</v>
      </c>
      <c r="C500" s="2" t="s">
        <v>13</v>
      </c>
      <c r="D500" s="2" t="s">
        <v>11</v>
      </c>
      <c r="E500" s="2" t="s">
        <v>18</v>
      </c>
      <c r="F500" s="2"/>
      <c r="G500" s="2">
        <v>-127.13</v>
      </c>
    </row>
    <row r="501" spans="1:7">
      <c r="A501" s="2" t="s">
        <v>518</v>
      </c>
      <c r="B501" s="3">
        <v>45426</v>
      </c>
      <c r="C501" s="2" t="s">
        <v>13</v>
      </c>
      <c r="D501" s="2" t="s">
        <v>22</v>
      </c>
      <c r="E501" s="2"/>
      <c r="F501" s="2">
        <v>225.89</v>
      </c>
      <c r="G501" s="2"/>
    </row>
    <row r="502" spans="1:7">
      <c r="A502" s="2" t="s">
        <v>519</v>
      </c>
      <c r="B502" s="3">
        <v>45427</v>
      </c>
      <c r="C502" s="2" t="s">
        <v>21</v>
      </c>
      <c r="D502" s="2" t="s">
        <v>11</v>
      </c>
      <c r="E502" s="2"/>
      <c r="F502" s="2"/>
      <c r="G502" s="2">
        <v>-67.72</v>
      </c>
    </row>
    <row r="503" spans="1:7">
      <c r="A503" s="2" t="s">
        <v>520</v>
      </c>
      <c r="B503" s="3">
        <v>45428</v>
      </c>
      <c r="C503" s="2" t="s">
        <v>27</v>
      </c>
      <c r="D503" s="2" t="s">
        <v>22</v>
      </c>
      <c r="E503" s="2" t="s">
        <v>14</v>
      </c>
      <c r="F503" s="2">
        <v>188.64</v>
      </c>
      <c r="G503" s="2"/>
    </row>
    <row r="504" spans="1:7">
      <c r="A504" s="2" t="s">
        <v>521</v>
      </c>
      <c r="B504" s="3">
        <v>45429</v>
      </c>
      <c r="C504" s="2" t="s">
        <v>13</v>
      </c>
      <c r="D504" s="2"/>
      <c r="E504" s="2" t="s">
        <v>18</v>
      </c>
      <c r="F504" s="2">
        <v>688.66</v>
      </c>
      <c r="G504" s="2"/>
    </row>
    <row r="505" spans="1:7">
      <c r="A505" s="2" t="s">
        <v>522</v>
      </c>
      <c r="B505" s="3">
        <v>45430</v>
      </c>
      <c r="C505" s="2" t="s">
        <v>16</v>
      </c>
      <c r="D505" s="2" t="s">
        <v>8</v>
      </c>
      <c r="E505" s="2" t="s">
        <v>9</v>
      </c>
      <c r="F505" s="2"/>
      <c r="G505" s="2"/>
    </row>
    <row r="506" spans="1:7">
      <c r="A506" s="2" t="s">
        <v>523</v>
      </c>
      <c r="B506" s="3">
        <v>45431</v>
      </c>
      <c r="C506" s="2" t="s">
        <v>21</v>
      </c>
      <c r="D506" s="2" t="s">
        <v>8</v>
      </c>
      <c r="E506" s="2" t="s">
        <v>14</v>
      </c>
      <c r="F506" s="2"/>
      <c r="G506" s="2">
        <v>83.07</v>
      </c>
    </row>
    <row r="507" spans="1:7">
      <c r="A507" s="2" t="s">
        <v>524</v>
      </c>
      <c r="B507" s="3">
        <v>45432</v>
      </c>
      <c r="C507" s="2" t="s">
        <v>16</v>
      </c>
      <c r="D507" s="2" t="s">
        <v>22</v>
      </c>
      <c r="E507" s="2" t="s">
        <v>18</v>
      </c>
      <c r="F507" s="2"/>
      <c r="G507" s="2">
        <v>151.87</v>
      </c>
    </row>
    <row r="508" spans="1:7">
      <c r="A508" s="2" t="s">
        <v>525</v>
      </c>
      <c r="B508" s="3">
        <v>45433</v>
      </c>
      <c r="C508" s="2" t="s">
        <v>16</v>
      </c>
      <c r="D508" s="2" t="s">
        <v>8</v>
      </c>
      <c r="E508" s="2" t="s">
        <v>24</v>
      </c>
      <c r="F508" s="2">
        <v>197.1</v>
      </c>
      <c r="G508" s="2"/>
    </row>
    <row r="509" spans="1:7">
      <c r="A509" s="2" t="s">
        <v>526</v>
      </c>
      <c r="B509" s="3">
        <v>45434</v>
      </c>
      <c r="C509" s="2" t="s">
        <v>21</v>
      </c>
      <c r="D509" s="2"/>
      <c r="E509" s="2" t="s">
        <v>18</v>
      </c>
      <c r="F509" s="2">
        <v>114.84</v>
      </c>
      <c r="G509" s="2">
        <v>-18.16</v>
      </c>
    </row>
    <row r="510" spans="1:7">
      <c r="A510" s="2" t="s">
        <v>527</v>
      </c>
      <c r="B510" s="3">
        <v>45435</v>
      </c>
      <c r="C510" s="2" t="s">
        <v>21</v>
      </c>
      <c r="D510" s="2" t="s">
        <v>11</v>
      </c>
      <c r="E510" s="2"/>
      <c r="F510" s="2">
        <v>188.27</v>
      </c>
      <c r="G510" s="2">
        <v>-114.01</v>
      </c>
    </row>
    <row r="511" spans="1:7">
      <c r="A511" s="2" t="s">
        <v>528</v>
      </c>
      <c r="B511" s="3">
        <v>45436</v>
      </c>
      <c r="C511" s="2" t="s">
        <v>13</v>
      </c>
      <c r="D511" s="2"/>
      <c r="E511" s="2" t="s">
        <v>9</v>
      </c>
      <c r="F511" s="2">
        <v>434.05</v>
      </c>
      <c r="G511" s="2">
        <v>101.06</v>
      </c>
    </row>
    <row r="512" spans="1:7">
      <c r="A512" s="2" t="s">
        <v>529</v>
      </c>
      <c r="B512" s="3">
        <v>45437</v>
      </c>
      <c r="C512" s="2" t="s">
        <v>21</v>
      </c>
      <c r="D512" s="2" t="s">
        <v>22</v>
      </c>
      <c r="E512" s="2" t="s">
        <v>14</v>
      </c>
      <c r="F512" s="2"/>
      <c r="G512" s="2">
        <v>253.59</v>
      </c>
    </row>
    <row r="513" spans="1:7">
      <c r="A513" s="2" t="s">
        <v>530</v>
      </c>
      <c r="B513" s="3">
        <v>45438</v>
      </c>
      <c r="C513" s="2" t="s">
        <v>21</v>
      </c>
      <c r="D513" s="2"/>
      <c r="E513" s="2" t="s">
        <v>18</v>
      </c>
      <c r="F513" s="2"/>
      <c r="G513" s="2"/>
    </row>
    <row r="514" spans="1:7">
      <c r="A514" s="2" t="s">
        <v>531</v>
      </c>
      <c r="B514" s="3">
        <v>45439</v>
      </c>
      <c r="C514" s="2" t="s">
        <v>16</v>
      </c>
      <c r="D514" s="2"/>
      <c r="E514" s="2" t="s">
        <v>24</v>
      </c>
      <c r="F514" s="2">
        <v>419.73</v>
      </c>
      <c r="G514" s="2">
        <v>-81.83</v>
      </c>
    </row>
    <row r="515" spans="1:7">
      <c r="A515" s="2" t="s">
        <v>532</v>
      </c>
      <c r="B515" s="3">
        <v>45440</v>
      </c>
      <c r="C515" s="2" t="s">
        <v>13</v>
      </c>
      <c r="D515" s="2" t="s">
        <v>11</v>
      </c>
      <c r="E515" s="2" t="s">
        <v>18</v>
      </c>
      <c r="F515" s="2"/>
      <c r="G515" s="2">
        <v>294.33</v>
      </c>
    </row>
    <row r="516" spans="1:7">
      <c r="A516" s="2" t="s">
        <v>533</v>
      </c>
      <c r="B516" s="3">
        <v>45441</v>
      </c>
      <c r="C516" s="2" t="s">
        <v>13</v>
      </c>
      <c r="D516" s="2" t="s">
        <v>8</v>
      </c>
      <c r="E516" s="2" t="s">
        <v>14</v>
      </c>
      <c r="F516" s="2"/>
      <c r="G516" s="2">
        <v>86.3</v>
      </c>
    </row>
    <row r="517" spans="1:7">
      <c r="A517" s="2" t="s">
        <v>534</v>
      </c>
      <c r="B517" s="3">
        <v>45442</v>
      </c>
      <c r="C517" s="2" t="s">
        <v>16</v>
      </c>
      <c r="D517" s="2" t="s">
        <v>22</v>
      </c>
      <c r="E517" s="2" t="s">
        <v>14</v>
      </c>
      <c r="F517" s="2">
        <v>325.64999999999998</v>
      </c>
      <c r="G517" s="2"/>
    </row>
    <row r="518" spans="1:7">
      <c r="A518" s="2" t="s">
        <v>535</v>
      </c>
      <c r="B518" s="3">
        <v>45443</v>
      </c>
      <c r="C518" s="2" t="s">
        <v>13</v>
      </c>
      <c r="D518" s="2" t="s">
        <v>22</v>
      </c>
      <c r="E518" s="2" t="s">
        <v>24</v>
      </c>
      <c r="F518" s="2"/>
      <c r="G518" s="2">
        <v>-28.26</v>
      </c>
    </row>
    <row r="519" spans="1:7">
      <c r="A519" s="2" t="s">
        <v>536</v>
      </c>
      <c r="B519" s="3">
        <v>45444</v>
      </c>
      <c r="C519" s="2" t="s">
        <v>16</v>
      </c>
      <c r="D519" s="2"/>
      <c r="E519" s="2"/>
      <c r="F519" s="2"/>
      <c r="G519" s="2">
        <v>31.96</v>
      </c>
    </row>
    <row r="520" spans="1:7">
      <c r="A520" s="2" t="s">
        <v>537</v>
      </c>
      <c r="B520" s="3">
        <v>45445</v>
      </c>
      <c r="C520" s="2" t="s">
        <v>21</v>
      </c>
      <c r="D520" s="2" t="s">
        <v>8</v>
      </c>
      <c r="E520" s="2"/>
      <c r="F520" s="2"/>
      <c r="G520" s="4"/>
    </row>
    <row r="521" spans="1:7">
      <c r="A521" s="2" t="s">
        <v>538</v>
      </c>
      <c r="B521" s="3">
        <v>45446</v>
      </c>
      <c r="C521" s="2" t="s">
        <v>13</v>
      </c>
      <c r="D521" s="2" t="s">
        <v>8</v>
      </c>
      <c r="E521" s="2" t="s">
        <v>32</v>
      </c>
      <c r="F521" s="2">
        <v>953.04</v>
      </c>
      <c r="G521" s="2"/>
    </row>
    <row r="522" spans="1:7">
      <c r="A522" s="2" t="s">
        <v>539</v>
      </c>
      <c r="B522" s="3">
        <v>45447</v>
      </c>
      <c r="C522" s="2" t="s">
        <v>27</v>
      </c>
      <c r="D522" s="2" t="s">
        <v>11</v>
      </c>
      <c r="E522" s="2" t="s">
        <v>9</v>
      </c>
      <c r="F522" s="2">
        <v>602.28</v>
      </c>
      <c r="G522" s="2"/>
    </row>
    <row r="523" spans="1:7">
      <c r="A523" s="2" t="s">
        <v>540</v>
      </c>
      <c r="B523" s="3">
        <v>45448</v>
      </c>
      <c r="C523" s="2" t="s">
        <v>27</v>
      </c>
      <c r="D523" s="2"/>
      <c r="E523" s="2" t="s">
        <v>24</v>
      </c>
      <c r="F523" s="2">
        <v>200.43</v>
      </c>
      <c r="G523" s="2"/>
    </row>
    <row r="524" spans="1:7">
      <c r="A524" s="2" t="s">
        <v>541</v>
      </c>
      <c r="B524" s="3">
        <v>45449</v>
      </c>
      <c r="C524" s="2" t="s">
        <v>21</v>
      </c>
      <c r="D524" s="2"/>
      <c r="E524" s="2" t="s">
        <v>32</v>
      </c>
      <c r="F524" s="2"/>
      <c r="G524" s="2">
        <v>119.86</v>
      </c>
    </row>
    <row r="525" spans="1:7">
      <c r="A525" s="2" t="s">
        <v>542</v>
      </c>
      <c r="B525" s="3">
        <v>45450</v>
      </c>
      <c r="C525" s="2" t="s">
        <v>13</v>
      </c>
      <c r="D525" s="2" t="s">
        <v>11</v>
      </c>
      <c r="E525" s="2" t="s">
        <v>14</v>
      </c>
      <c r="F525" s="2"/>
      <c r="G525" s="2"/>
    </row>
    <row r="526" spans="1:7">
      <c r="A526" s="2" t="s">
        <v>543</v>
      </c>
      <c r="B526" s="3">
        <v>45451</v>
      </c>
      <c r="C526" s="2" t="s">
        <v>27</v>
      </c>
      <c r="D526" s="2" t="s">
        <v>8</v>
      </c>
      <c r="E526" s="2" t="s">
        <v>14</v>
      </c>
      <c r="F526" s="2">
        <v>353.83</v>
      </c>
      <c r="G526" s="2"/>
    </row>
    <row r="527" spans="1:7">
      <c r="A527" s="2" t="s">
        <v>544</v>
      </c>
      <c r="B527" s="3">
        <v>45452</v>
      </c>
      <c r="C527" s="2" t="s">
        <v>27</v>
      </c>
      <c r="D527" s="2" t="s">
        <v>22</v>
      </c>
      <c r="E527" s="2" t="s">
        <v>24</v>
      </c>
      <c r="F527" s="2">
        <v>440.04</v>
      </c>
      <c r="G527" s="2"/>
    </row>
    <row r="528" spans="1:7">
      <c r="A528" s="2" t="s">
        <v>545</v>
      </c>
      <c r="B528" s="3">
        <v>45453</v>
      </c>
      <c r="C528" s="2" t="s">
        <v>27</v>
      </c>
      <c r="D528" s="2"/>
      <c r="E528" s="2"/>
      <c r="F528" s="2"/>
      <c r="G528" s="2">
        <v>-156.06</v>
      </c>
    </row>
    <row r="529" spans="1:7">
      <c r="A529" s="2" t="s">
        <v>546</v>
      </c>
      <c r="B529" s="3">
        <v>45454</v>
      </c>
      <c r="C529" s="2"/>
      <c r="D529" s="2" t="s">
        <v>18</v>
      </c>
      <c r="E529" s="2"/>
      <c r="F529" s="2"/>
      <c r="G529" s="4"/>
    </row>
    <row r="530" spans="1:7">
      <c r="A530" s="2" t="s">
        <v>547</v>
      </c>
      <c r="B530" s="3">
        <v>45455</v>
      </c>
      <c r="C530" s="2" t="s">
        <v>21</v>
      </c>
      <c r="D530" s="2" t="s">
        <v>11</v>
      </c>
      <c r="E530" s="2" t="s">
        <v>18</v>
      </c>
      <c r="F530" s="2"/>
      <c r="G530" s="2"/>
    </row>
    <row r="531" spans="1:7">
      <c r="A531" s="2" t="s">
        <v>548</v>
      </c>
      <c r="B531" s="3">
        <v>45456</v>
      </c>
      <c r="C531" s="2" t="s">
        <v>21</v>
      </c>
      <c r="D531" s="2" t="s">
        <v>11</v>
      </c>
      <c r="E531" s="2" t="s">
        <v>32</v>
      </c>
      <c r="F531" s="2"/>
      <c r="G531" s="2"/>
    </row>
    <row r="532" spans="1:7">
      <c r="A532" s="2" t="s">
        <v>549</v>
      </c>
      <c r="B532" s="3">
        <v>45457</v>
      </c>
      <c r="C532" s="2" t="s">
        <v>16</v>
      </c>
      <c r="D532" s="2" t="s">
        <v>8</v>
      </c>
      <c r="E532" s="2" t="s">
        <v>14</v>
      </c>
      <c r="F532" s="2">
        <v>818.59</v>
      </c>
      <c r="G532" s="2">
        <v>9.76</v>
      </c>
    </row>
    <row r="533" spans="1:7">
      <c r="A533" s="2" t="s">
        <v>550</v>
      </c>
      <c r="B533" s="3">
        <v>45458</v>
      </c>
      <c r="C533" s="2" t="s">
        <v>13</v>
      </c>
      <c r="D533" s="2"/>
      <c r="E533" s="2" t="s">
        <v>24</v>
      </c>
      <c r="F533" s="2">
        <v>153.18</v>
      </c>
      <c r="G533" s="2"/>
    </row>
    <row r="534" spans="1:7">
      <c r="A534" s="2" t="s">
        <v>551</v>
      </c>
      <c r="B534" s="3">
        <v>45459</v>
      </c>
      <c r="C534" s="2" t="s">
        <v>16</v>
      </c>
      <c r="D534" s="2" t="s">
        <v>11</v>
      </c>
      <c r="E534" s="2" t="s">
        <v>24</v>
      </c>
      <c r="F534" s="2">
        <v>347.49</v>
      </c>
      <c r="G534" s="2">
        <v>-40.69</v>
      </c>
    </row>
    <row r="535" spans="1:7">
      <c r="A535" s="2" t="s">
        <v>552</v>
      </c>
      <c r="B535" s="3">
        <v>45460</v>
      </c>
      <c r="C535" s="2"/>
      <c r="D535" s="2"/>
      <c r="E535" s="2"/>
      <c r="F535" s="2"/>
      <c r="G535" s="4"/>
    </row>
    <row r="536" spans="1:7">
      <c r="A536" s="2" t="s">
        <v>553</v>
      </c>
      <c r="B536" s="3">
        <v>45461</v>
      </c>
      <c r="C536" s="2" t="s">
        <v>27</v>
      </c>
      <c r="D536" s="2"/>
      <c r="E536" s="2" t="s">
        <v>14</v>
      </c>
      <c r="F536" s="2"/>
      <c r="G536" s="2">
        <v>8.82</v>
      </c>
    </row>
    <row r="537" spans="1:7">
      <c r="A537" s="2" t="s">
        <v>554</v>
      </c>
      <c r="B537" s="3">
        <v>45462</v>
      </c>
      <c r="C537" s="2" t="s">
        <v>22</v>
      </c>
      <c r="D537" s="2" t="s">
        <v>32</v>
      </c>
      <c r="E537" s="2"/>
      <c r="F537" s="2">
        <v>140.07</v>
      </c>
      <c r="G537" s="4"/>
    </row>
    <row r="538" spans="1:7">
      <c r="A538" s="2" t="s">
        <v>555</v>
      </c>
      <c r="B538" s="3">
        <v>45463</v>
      </c>
      <c r="C538" s="2" t="s">
        <v>13</v>
      </c>
      <c r="D538" s="2" t="s">
        <v>11</v>
      </c>
      <c r="E538" s="2" t="s">
        <v>14</v>
      </c>
      <c r="F538" s="2"/>
      <c r="G538" s="2">
        <v>32.74</v>
      </c>
    </row>
    <row r="539" spans="1:7">
      <c r="A539" s="2" t="s">
        <v>556</v>
      </c>
      <c r="B539" s="3">
        <v>45464</v>
      </c>
      <c r="C539" s="2" t="s">
        <v>27</v>
      </c>
      <c r="D539" s="2" t="s">
        <v>11</v>
      </c>
      <c r="E539" s="2" t="s">
        <v>14</v>
      </c>
      <c r="F539" s="2"/>
      <c r="G539" s="2">
        <v>98.46</v>
      </c>
    </row>
    <row r="540" spans="1:7">
      <c r="A540" s="2" t="s">
        <v>557</v>
      </c>
      <c r="B540" s="3">
        <v>45465</v>
      </c>
      <c r="C540" s="2" t="s">
        <v>21</v>
      </c>
      <c r="D540" s="2" t="s">
        <v>8</v>
      </c>
      <c r="E540" s="2" t="s">
        <v>18</v>
      </c>
      <c r="F540" s="2"/>
      <c r="G540" s="2">
        <v>111.77</v>
      </c>
    </row>
    <row r="541" spans="1:7">
      <c r="A541" s="2" t="s">
        <v>558</v>
      </c>
      <c r="B541" s="3">
        <v>45466</v>
      </c>
      <c r="C541" s="2" t="s">
        <v>16</v>
      </c>
      <c r="D541" s="2" t="s">
        <v>8</v>
      </c>
      <c r="E541" s="2" t="s">
        <v>9</v>
      </c>
      <c r="F541" s="2">
        <v>276.93</v>
      </c>
      <c r="G541" s="2"/>
    </row>
    <row r="542" spans="1:7">
      <c r="A542" s="2" t="s">
        <v>559</v>
      </c>
      <c r="B542" s="3">
        <v>45467</v>
      </c>
      <c r="C542" s="2" t="s">
        <v>27</v>
      </c>
      <c r="D542" s="2"/>
      <c r="E542" s="2" t="s">
        <v>9</v>
      </c>
      <c r="F542" s="2"/>
      <c r="G542" s="2"/>
    </row>
    <row r="543" spans="1:7">
      <c r="A543" s="2" t="s">
        <v>560</v>
      </c>
      <c r="B543" s="3">
        <v>45468</v>
      </c>
      <c r="C543" s="2" t="s">
        <v>13</v>
      </c>
      <c r="D543" s="2"/>
      <c r="E543" s="2" t="s">
        <v>24</v>
      </c>
      <c r="F543" s="2"/>
      <c r="G543" s="2">
        <v>162.97999999999999</v>
      </c>
    </row>
    <row r="544" spans="1:7">
      <c r="A544" s="2" t="s">
        <v>561</v>
      </c>
      <c r="B544" s="3">
        <v>45469</v>
      </c>
      <c r="C544" s="2" t="s">
        <v>8</v>
      </c>
      <c r="D544" s="2" t="s">
        <v>18</v>
      </c>
      <c r="E544" s="2">
        <v>295.5</v>
      </c>
      <c r="F544" s="2"/>
      <c r="G544" s="4"/>
    </row>
    <row r="545" spans="1:7">
      <c r="A545" s="2" t="s">
        <v>562</v>
      </c>
      <c r="B545" s="3">
        <v>45470</v>
      </c>
      <c r="C545" s="2" t="s">
        <v>27</v>
      </c>
      <c r="D545" s="2" t="s">
        <v>8</v>
      </c>
      <c r="E545" s="2" t="s">
        <v>9</v>
      </c>
      <c r="F545" s="2">
        <v>836.43</v>
      </c>
      <c r="G545" s="2"/>
    </row>
    <row r="546" spans="1:7">
      <c r="A546" s="2" t="s">
        <v>563</v>
      </c>
      <c r="B546" s="3">
        <v>45471</v>
      </c>
      <c r="C546" s="2" t="s">
        <v>16</v>
      </c>
      <c r="D546" s="2" t="s">
        <v>22</v>
      </c>
      <c r="E546" s="2" t="s">
        <v>18</v>
      </c>
      <c r="F546" s="2"/>
      <c r="G546" s="2">
        <v>54.32</v>
      </c>
    </row>
    <row r="547" spans="1:7">
      <c r="A547" s="2" t="s">
        <v>564</v>
      </c>
      <c r="B547" s="3">
        <v>45472</v>
      </c>
      <c r="C547" s="2" t="s">
        <v>21</v>
      </c>
      <c r="D547" s="2"/>
      <c r="E547" s="2" t="s">
        <v>24</v>
      </c>
      <c r="F547" s="2"/>
      <c r="G547" s="2">
        <v>-50.75</v>
      </c>
    </row>
    <row r="548" spans="1:7">
      <c r="A548" s="2" t="s">
        <v>565</v>
      </c>
      <c r="B548" s="3">
        <v>45473</v>
      </c>
      <c r="C548" s="2" t="s">
        <v>21</v>
      </c>
      <c r="D548" s="2" t="s">
        <v>8</v>
      </c>
      <c r="E548" s="2" t="s">
        <v>18</v>
      </c>
      <c r="F548" s="2"/>
      <c r="G548" s="2"/>
    </row>
    <row r="549" spans="1:7">
      <c r="A549" s="2" t="s">
        <v>566</v>
      </c>
      <c r="B549" s="3">
        <v>45474</v>
      </c>
      <c r="C549" s="2" t="s">
        <v>21</v>
      </c>
      <c r="D549" s="2" t="s">
        <v>22</v>
      </c>
      <c r="E549" s="2" t="s">
        <v>14</v>
      </c>
      <c r="F549" s="2">
        <v>784.84</v>
      </c>
      <c r="G549" s="2"/>
    </row>
    <row r="550" spans="1:7">
      <c r="A550" s="2" t="s">
        <v>567</v>
      </c>
      <c r="B550" s="3">
        <v>45475</v>
      </c>
      <c r="C550" s="2" t="s">
        <v>13</v>
      </c>
      <c r="D550" s="2" t="s">
        <v>11</v>
      </c>
      <c r="E550" s="2" t="s">
        <v>9</v>
      </c>
      <c r="F550" s="2">
        <v>241.05</v>
      </c>
      <c r="G550" s="2"/>
    </row>
    <row r="551" spans="1:7">
      <c r="A551" s="2" t="s">
        <v>568</v>
      </c>
      <c r="B551" s="3">
        <v>45476</v>
      </c>
      <c r="C551" s="2" t="s">
        <v>27</v>
      </c>
      <c r="D551" s="2" t="s">
        <v>22</v>
      </c>
      <c r="E551" s="2"/>
      <c r="F551" s="2">
        <v>513.53</v>
      </c>
      <c r="G551" s="2">
        <v>-86.71</v>
      </c>
    </row>
    <row r="552" spans="1:7">
      <c r="A552" s="2" t="s">
        <v>569</v>
      </c>
      <c r="B552" s="3">
        <v>45477</v>
      </c>
      <c r="C552" s="2" t="s">
        <v>27</v>
      </c>
      <c r="D552" s="2" t="s">
        <v>8</v>
      </c>
      <c r="E552" s="2" t="s">
        <v>14</v>
      </c>
      <c r="F552" s="2">
        <v>864.48</v>
      </c>
      <c r="G552" s="2"/>
    </row>
    <row r="553" spans="1:7">
      <c r="A553" s="2" t="s">
        <v>570</v>
      </c>
      <c r="B553" s="3">
        <v>45478</v>
      </c>
      <c r="C553" s="2" t="s">
        <v>16</v>
      </c>
      <c r="D553" s="2" t="s">
        <v>11</v>
      </c>
      <c r="E553" s="2" t="s">
        <v>18</v>
      </c>
      <c r="F553" s="2">
        <v>288.95</v>
      </c>
      <c r="G553" s="2"/>
    </row>
    <row r="554" spans="1:7">
      <c r="A554" s="2" t="s">
        <v>571</v>
      </c>
      <c r="B554" s="3">
        <v>45479</v>
      </c>
      <c r="C554" s="2" t="s">
        <v>21</v>
      </c>
      <c r="D554" s="2"/>
      <c r="E554" s="2"/>
      <c r="F554" s="2"/>
      <c r="G554" s="2"/>
    </row>
    <row r="555" spans="1:7">
      <c r="A555" s="2" t="s">
        <v>572</v>
      </c>
      <c r="B555" s="3">
        <v>45480</v>
      </c>
      <c r="C555" s="2" t="s">
        <v>16</v>
      </c>
      <c r="D555" s="2" t="s">
        <v>11</v>
      </c>
      <c r="E555" s="2" t="s">
        <v>14</v>
      </c>
      <c r="F555" s="2"/>
      <c r="G555" s="2">
        <v>-90.66</v>
      </c>
    </row>
    <row r="556" spans="1:7">
      <c r="A556" s="2" t="s">
        <v>573</v>
      </c>
      <c r="B556" s="3">
        <v>45481</v>
      </c>
      <c r="C556" s="2" t="s">
        <v>8</v>
      </c>
      <c r="D556" s="2" t="s">
        <v>9</v>
      </c>
      <c r="E556" s="2">
        <v>255.12</v>
      </c>
      <c r="F556" s="2">
        <v>167.44</v>
      </c>
      <c r="G556" s="4"/>
    </row>
    <row r="557" spans="1:7">
      <c r="A557" s="2" t="s">
        <v>574</v>
      </c>
      <c r="B557" s="3">
        <v>45482</v>
      </c>
      <c r="C557" s="2" t="s">
        <v>22</v>
      </c>
      <c r="D557" s="2" t="s">
        <v>14</v>
      </c>
      <c r="E557" s="2"/>
      <c r="F557" s="2"/>
      <c r="G557" s="4"/>
    </row>
    <row r="558" spans="1:7">
      <c r="A558" s="2" t="s">
        <v>575</v>
      </c>
      <c r="B558" s="3">
        <v>45483</v>
      </c>
      <c r="C558" s="2" t="s">
        <v>16</v>
      </c>
      <c r="D558" s="2" t="s">
        <v>11</v>
      </c>
      <c r="E558" s="2"/>
      <c r="F558" s="2"/>
      <c r="G558" s="2">
        <v>278.69</v>
      </c>
    </row>
    <row r="559" spans="1:7">
      <c r="A559" s="2" t="s">
        <v>576</v>
      </c>
      <c r="B559" s="3">
        <v>45484</v>
      </c>
      <c r="C559" s="2" t="s">
        <v>16</v>
      </c>
      <c r="D559" s="2"/>
      <c r="E559" s="2" t="s">
        <v>24</v>
      </c>
      <c r="F559" s="2">
        <v>132.19</v>
      </c>
      <c r="G559" s="2"/>
    </row>
    <row r="560" spans="1:7">
      <c r="A560" s="2" t="s">
        <v>577</v>
      </c>
      <c r="B560" s="3">
        <v>45485</v>
      </c>
      <c r="C560" s="2" t="s">
        <v>16</v>
      </c>
      <c r="D560" s="2" t="s">
        <v>8</v>
      </c>
      <c r="E560" s="2" t="s">
        <v>14</v>
      </c>
      <c r="F560" s="2"/>
      <c r="G560" s="2">
        <v>-199.63</v>
      </c>
    </row>
    <row r="561" spans="1:7">
      <c r="A561" s="2" t="s">
        <v>578</v>
      </c>
      <c r="B561" s="3">
        <v>45486</v>
      </c>
      <c r="C561" s="2" t="s">
        <v>21</v>
      </c>
      <c r="D561" s="2"/>
      <c r="E561" s="2"/>
      <c r="F561" s="2">
        <v>621.54</v>
      </c>
      <c r="G561" s="2"/>
    </row>
    <row r="562" spans="1:7">
      <c r="A562" s="2" t="s">
        <v>579</v>
      </c>
      <c r="B562" s="3">
        <v>45487</v>
      </c>
      <c r="C562" s="2" t="s">
        <v>11</v>
      </c>
      <c r="D562" s="2" t="s">
        <v>9</v>
      </c>
      <c r="E562" s="2">
        <v>284.69</v>
      </c>
      <c r="F562" s="2"/>
      <c r="G562" s="4"/>
    </row>
    <row r="563" spans="1:7">
      <c r="A563" s="2" t="s">
        <v>580</v>
      </c>
      <c r="B563" s="3">
        <v>45488</v>
      </c>
      <c r="C563" s="2" t="s">
        <v>16</v>
      </c>
      <c r="D563" s="2" t="s">
        <v>22</v>
      </c>
      <c r="E563" s="2" t="s">
        <v>24</v>
      </c>
      <c r="F563" s="2"/>
      <c r="G563" s="2"/>
    </row>
    <row r="564" spans="1:7">
      <c r="A564" s="2" t="s">
        <v>581</v>
      </c>
      <c r="B564" s="3">
        <v>45489</v>
      </c>
      <c r="C564" s="2" t="s">
        <v>21</v>
      </c>
      <c r="D564" s="2" t="s">
        <v>8</v>
      </c>
      <c r="E564" s="2" t="s">
        <v>24</v>
      </c>
      <c r="F564" s="2">
        <v>484.01</v>
      </c>
      <c r="G564" s="2">
        <v>258.36</v>
      </c>
    </row>
    <row r="565" spans="1:7">
      <c r="A565" s="2" t="s">
        <v>582</v>
      </c>
      <c r="B565" s="3">
        <v>45490</v>
      </c>
      <c r="C565" s="2" t="s">
        <v>21</v>
      </c>
      <c r="D565" s="2" t="s">
        <v>22</v>
      </c>
      <c r="E565" s="2" t="s">
        <v>14</v>
      </c>
      <c r="F565" s="2">
        <v>87.16</v>
      </c>
      <c r="G565" s="2"/>
    </row>
    <row r="566" spans="1:7">
      <c r="A566" s="2" t="s">
        <v>583</v>
      </c>
      <c r="B566" s="3">
        <v>45491</v>
      </c>
      <c r="C566" s="2" t="s">
        <v>16</v>
      </c>
      <c r="D566" s="2" t="s">
        <v>22</v>
      </c>
      <c r="E566" s="2" t="s">
        <v>14</v>
      </c>
      <c r="F566" s="2"/>
      <c r="G566" s="2"/>
    </row>
    <row r="567" spans="1:7">
      <c r="A567" s="2" t="s">
        <v>584</v>
      </c>
      <c r="B567" s="3">
        <v>45492</v>
      </c>
      <c r="C567" s="2" t="s">
        <v>21</v>
      </c>
      <c r="D567" s="2" t="s">
        <v>8</v>
      </c>
      <c r="E567" s="2" t="s">
        <v>14</v>
      </c>
      <c r="F567" s="2">
        <v>472.88</v>
      </c>
      <c r="G567" s="2">
        <v>-128.9</v>
      </c>
    </row>
    <row r="568" spans="1:7">
      <c r="A568" s="2" t="s">
        <v>585</v>
      </c>
      <c r="B568" s="3">
        <v>45493</v>
      </c>
      <c r="C568" s="2" t="s">
        <v>13</v>
      </c>
      <c r="D568" s="2" t="s">
        <v>8</v>
      </c>
      <c r="E568" s="2" t="s">
        <v>18</v>
      </c>
      <c r="F568" s="2">
        <v>420.41</v>
      </c>
      <c r="G568" s="2"/>
    </row>
    <row r="569" spans="1:7">
      <c r="A569" s="2" t="s">
        <v>586</v>
      </c>
      <c r="B569" s="3">
        <v>45494</v>
      </c>
      <c r="C569" s="2" t="s">
        <v>27</v>
      </c>
      <c r="D569" s="2" t="s">
        <v>8</v>
      </c>
      <c r="E569" s="2" t="s">
        <v>32</v>
      </c>
      <c r="F569" s="2"/>
      <c r="G569" s="2"/>
    </row>
    <row r="570" spans="1:7">
      <c r="A570" s="2" t="s">
        <v>587</v>
      </c>
      <c r="B570" s="3">
        <v>45495</v>
      </c>
      <c r="C570" s="2" t="s">
        <v>16</v>
      </c>
      <c r="D570" s="2"/>
      <c r="E570" s="2" t="s">
        <v>14</v>
      </c>
      <c r="F570" s="2"/>
      <c r="G570" s="2"/>
    </row>
    <row r="571" spans="1:7">
      <c r="A571" s="2" t="s">
        <v>588</v>
      </c>
      <c r="B571" s="3">
        <v>45496</v>
      </c>
      <c r="C571" s="2" t="s">
        <v>13</v>
      </c>
      <c r="D571" s="2" t="s">
        <v>8</v>
      </c>
      <c r="E571" s="2" t="s">
        <v>32</v>
      </c>
      <c r="F571" s="2"/>
      <c r="G571" s="2"/>
    </row>
    <row r="572" spans="1:7">
      <c r="A572" s="2" t="s">
        <v>589</v>
      </c>
      <c r="B572" s="3">
        <v>45497</v>
      </c>
      <c r="C572" s="2" t="s">
        <v>11</v>
      </c>
      <c r="D572" s="2" t="s">
        <v>24</v>
      </c>
      <c r="E572" s="2"/>
      <c r="F572" s="2">
        <v>-25.47</v>
      </c>
      <c r="G572" s="4"/>
    </row>
    <row r="573" spans="1:7">
      <c r="A573" s="2" t="s">
        <v>590</v>
      </c>
      <c r="B573" s="3">
        <v>45498</v>
      </c>
      <c r="C573" s="2" t="s">
        <v>16</v>
      </c>
      <c r="D573" s="2"/>
      <c r="E573" s="2" t="s">
        <v>9</v>
      </c>
      <c r="F573" s="2">
        <v>503.07</v>
      </c>
      <c r="G573" s="2">
        <v>78.59</v>
      </c>
    </row>
    <row r="574" spans="1:7">
      <c r="A574" s="2" t="s">
        <v>591</v>
      </c>
      <c r="B574" s="3">
        <v>45499</v>
      </c>
      <c r="C574" s="2" t="s">
        <v>8</v>
      </c>
      <c r="D574" s="2" t="s">
        <v>24</v>
      </c>
      <c r="E574" s="2"/>
      <c r="F574" s="2"/>
      <c r="G574" s="4"/>
    </row>
    <row r="575" spans="1:7">
      <c r="A575" s="2" t="s">
        <v>592</v>
      </c>
      <c r="B575" s="3">
        <v>45500</v>
      </c>
      <c r="C575" s="2" t="s">
        <v>13</v>
      </c>
      <c r="D575" s="2" t="s">
        <v>8</v>
      </c>
      <c r="E575" s="2" t="s">
        <v>18</v>
      </c>
      <c r="F575" s="2">
        <v>457.5</v>
      </c>
      <c r="G575" s="2"/>
    </row>
    <row r="576" spans="1:7">
      <c r="A576" s="2" t="s">
        <v>593</v>
      </c>
      <c r="B576" s="3">
        <v>45501</v>
      </c>
      <c r="C576" s="2" t="s">
        <v>21</v>
      </c>
      <c r="D576" s="2" t="s">
        <v>11</v>
      </c>
      <c r="E576" s="2" t="s">
        <v>32</v>
      </c>
      <c r="F576" s="2">
        <v>982.3</v>
      </c>
      <c r="G576" s="2">
        <v>182.31</v>
      </c>
    </row>
    <row r="577" spans="1:7">
      <c r="A577" s="2" t="s">
        <v>594</v>
      </c>
      <c r="B577" s="3">
        <v>45502</v>
      </c>
      <c r="C577" s="2" t="s">
        <v>16</v>
      </c>
      <c r="D577" s="2" t="s">
        <v>11</v>
      </c>
      <c r="E577" s="2" t="s">
        <v>9</v>
      </c>
      <c r="F577" s="2">
        <v>698.14</v>
      </c>
      <c r="G577" s="2">
        <v>-175.64</v>
      </c>
    </row>
    <row r="578" spans="1:7">
      <c r="A578" s="2" t="s">
        <v>595</v>
      </c>
      <c r="B578" s="3">
        <v>45503</v>
      </c>
      <c r="C578" s="2"/>
      <c r="D578" s="2" t="s">
        <v>18</v>
      </c>
      <c r="E578" s="2"/>
      <c r="F578" s="2"/>
      <c r="G578" s="4"/>
    </row>
    <row r="579" spans="1:7">
      <c r="A579" s="2" t="s">
        <v>596</v>
      </c>
      <c r="B579" s="3">
        <v>45504</v>
      </c>
      <c r="C579" s="2" t="s">
        <v>22</v>
      </c>
      <c r="D579" s="2" t="s">
        <v>32</v>
      </c>
      <c r="E579" s="2"/>
      <c r="F579" s="2"/>
      <c r="G579" s="4"/>
    </row>
    <row r="580" spans="1:7">
      <c r="A580" s="2" t="s">
        <v>597</v>
      </c>
      <c r="B580" s="3">
        <v>45505</v>
      </c>
      <c r="C580" s="2" t="s">
        <v>21</v>
      </c>
      <c r="D580" s="2"/>
      <c r="E580" s="2" t="s">
        <v>9</v>
      </c>
      <c r="F580" s="2">
        <v>994.02</v>
      </c>
      <c r="G580" s="2"/>
    </row>
    <row r="581" spans="1:7">
      <c r="A581" s="2" t="s">
        <v>598</v>
      </c>
      <c r="B581" s="3">
        <v>45506</v>
      </c>
      <c r="C581" s="2" t="s">
        <v>13</v>
      </c>
      <c r="D581" s="2" t="s">
        <v>22</v>
      </c>
      <c r="E581" s="2" t="s">
        <v>18</v>
      </c>
      <c r="F581" s="2"/>
      <c r="G581" s="2"/>
    </row>
    <row r="582" spans="1:7">
      <c r="A582" s="2" t="s">
        <v>599</v>
      </c>
      <c r="B582" s="3">
        <v>45507</v>
      </c>
      <c r="C582" s="2" t="s">
        <v>16</v>
      </c>
      <c r="D582" s="2" t="s">
        <v>8</v>
      </c>
      <c r="E582" s="2" t="s">
        <v>18</v>
      </c>
      <c r="F582" s="2"/>
      <c r="G582" s="2"/>
    </row>
    <row r="583" spans="1:7">
      <c r="A583" s="2" t="s">
        <v>600</v>
      </c>
      <c r="B583" s="3">
        <v>45508</v>
      </c>
      <c r="C583" s="2" t="s">
        <v>16</v>
      </c>
      <c r="D583" s="2"/>
      <c r="E583" s="2" t="s">
        <v>9</v>
      </c>
      <c r="F583" s="2">
        <v>117.45</v>
      </c>
      <c r="G583" s="2"/>
    </row>
    <row r="584" spans="1:7">
      <c r="A584" s="2" t="s">
        <v>601</v>
      </c>
      <c r="B584" s="3">
        <v>45509</v>
      </c>
      <c r="C584" s="2" t="s">
        <v>16</v>
      </c>
      <c r="D584" s="2"/>
      <c r="E584" s="2" t="s">
        <v>9</v>
      </c>
      <c r="F584" s="2">
        <v>882.58</v>
      </c>
      <c r="G584" s="2">
        <v>277.74</v>
      </c>
    </row>
    <row r="585" spans="1:7">
      <c r="A585" s="2" t="s">
        <v>602</v>
      </c>
      <c r="B585" s="3">
        <v>45510</v>
      </c>
      <c r="C585" s="2" t="s">
        <v>22</v>
      </c>
      <c r="D585" s="2" t="s">
        <v>14</v>
      </c>
      <c r="E585" s="2"/>
      <c r="F585" s="2"/>
      <c r="G585" s="4"/>
    </row>
    <row r="586" spans="1:7">
      <c r="A586" s="2" t="s">
        <v>603</v>
      </c>
      <c r="B586" s="3">
        <v>45511</v>
      </c>
      <c r="C586" s="2" t="s">
        <v>13</v>
      </c>
      <c r="D586" s="2"/>
      <c r="E586" s="2" t="s">
        <v>18</v>
      </c>
      <c r="F586" s="2">
        <v>904.73</v>
      </c>
      <c r="G586" s="2">
        <v>223.07</v>
      </c>
    </row>
    <row r="587" spans="1:7">
      <c r="A587" s="2" t="s">
        <v>604</v>
      </c>
      <c r="B587" s="3">
        <v>45512</v>
      </c>
      <c r="C587" s="2" t="s">
        <v>27</v>
      </c>
      <c r="D587" s="2"/>
      <c r="E587" s="2"/>
      <c r="F587" s="2">
        <v>210.89</v>
      </c>
      <c r="G587" s="2"/>
    </row>
    <row r="588" spans="1:7">
      <c r="A588" s="2" t="s">
        <v>605</v>
      </c>
      <c r="B588" s="3">
        <v>45513</v>
      </c>
      <c r="C588" s="2" t="s">
        <v>16</v>
      </c>
      <c r="D588" s="2" t="s">
        <v>11</v>
      </c>
      <c r="E588" s="2" t="s">
        <v>9</v>
      </c>
      <c r="F588" s="2">
        <v>880.87</v>
      </c>
      <c r="G588" s="2"/>
    </row>
    <row r="589" spans="1:7">
      <c r="A589" s="2" t="s">
        <v>606</v>
      </c>
      <c r="B589" s="3">
        <v>45514</v>
      </c>
      <c r="C589" s="2" t="s">
        <v>22</v>
      </c>
      <c r="D589" s="2" t="s">
        <v>18</v>
      </c>
      <c r="E589" s="2">
        <v>738.61</v>
      </c>
      <c r="F589" s="2"/>
      <c r="G589" s="4"/>
    </row>
    <row r="590" spans="1:7">
      <c r="A590" s="2" t="s">
        <v>607</v>
      </c>
      <c r="B590" s="3">
        <v>45515</v>
      </c>
      <c r="C590" s="2" t="s">
        <v>13</v>
      </c>
      <c r="D590" s="2" t="s">
        <v>22</v>
      </c>
      <c r="E590" s="2" t="s">
        <v>32</v>
      </c>
      <c r="F590" s="2">
        <v>534.23</v>
      </c>
      <c r="G590" s="2">
        <v>-131.07</v>
      </c>
    </row>
    <row r="591" spans="1:7">
      <c r="A591" s="2" t="s">
        <v>608</v>
      </c>
      <c r="B591" s="3">
        <v>45516</v>
      </c>
      <c r="C591" s="2"/>
      <c r="D591" s="2" t="s">
        <v>14</v>
      </c>
      <c r="E591" s="2"/>
      <c r="F591" s="2">
        <v>281.37</v>
      </c>
      <c r="G591" s="4"/>
    </row>
    <row r="592" spans="1:7">
      <c r="A592" s="2" t="s">
        <v>609</v>
      </c>
      <c r="B592" s="3">
        <v>45517</v>
      </c>
      <c r="C592" s="2" t="s">
        <v>21</v>
      </c>
      <c r="D592" s="2" t="s">
        <v>22</v>
      </c>
      <c r="E592" s="2" t="s">
        <v>9</v>
      </c>
      <c r="F592" s="2">
        <v>488.21</v>
      </c>
      <c r="G592" s="2"/>
    </row>
    <row r="593" spans="1:7">
      <c r="A593" s="2" t="s">
        <v>610</v>
      </c>
      <c r="B593" s="3">
        <v>45518</v>
      </c>
      <c r="C593" s="2" t="s">
        <v>16</v>
      </c>
      <c r="D593" s="2" t="s">
        <v>11</v>
      </c>
      <c r="E593" s="2" t="s">
        <v>32</v>
      </c>
      <c r="F593" s="2">
        <v>348.4</v>
      </c>
      <c r="G593" s="2"/>
    </row>
    <row r="594" spans="1:7">
      <c r="A594" s="2" t="s">
        <v>611</v>
      </c>
      <c r="B594" s="3">
        <v>45519</v>
      </c>
      <c r="C594" s="2" t="s">
        <v>27</v>
      </c>
      <c r="D594" s="2" t="s">
        <v>11</v>
      </c>
      <c r="E594" s="2" t="s">
        <v>18</v>
      </c>
      <c r="F594" s="2">
        <v>659.04</v>
      </c>
      <c r="G594" s="2">
        <v>216.45</v>
      </c>
    </row>
    <row r="595" spans="1:7">
      <c r="A595" s="2" t="s">
        <v>612</v>
      </c>
      <c r="B595" s="3">
        <v>45520</v>
      </c>
      <c r="C595" s="2" t="s">
        <v>13</v>
      </c>
      <c r="D595" s="2" t="s">
        <v>8</v>
      </c>
      <c r="E595" s="2">
        <v>882.16</v>
      </c>
      <c r="F595" s="2"/>
      <c r="G595" s="4"/>
    </row>
    <row r="596" spans="1:7">
      <c r="A596" s="2" t="s">
        <v>613</v>
      </c>
      <c r="B596" s="3">
        <v>45521</v>
      </c>
      <c r="C596" s="2" t="s">
        <v>27</v>
      </c>
      <c r="D596" s="2" t="s">
        <v>8</v>
      </c>
      <c r="E596" s="2" t="s">
        <v>14</v>
      </c>
      <c r="F596" s="2">
        <v>856.56</v>
      </c>
      <c r="G596" s="2"/>
    </row>
    <row r="597" spans="1:7">
      <c r="A597" s="2" t="s">
        <v>614</v>
      </c>
      <c r="B597" s="3">
        <v>45522</v>
      </c>
      <c r="C597" s="2" t="s">
        <v>21</v>
      </c>
      <c r="D597" s="2" t="s">
        <v>8</v>
      </c>
      <c r="E597" s="2" t="s">
        <v>14</v>
      </c>
      <c r="F597" s="2"/>
      <c r="G597" s="2"/>
    </row>
    <row r="598" spans="1:7">
      <c r="A598" s="2" t="s">
        <v>615</v>
      </c>
      <c r="B598" s="3">
        <v>45523</v>
      </c>
      <c r="C598" s="2" t="s">
        <v>22</v>
      </c>
      <c r="D598" s="2"/>
      <c r="E598" s="2"/>
      <c r="F598" s="2"/>
      <c r="G598" s="4"/>
    </row>
    <row r="599" spans="1:7">
      <c r="A599" s="2" t="s">
        <v>616</v>
      </c>
      <c r="B599" s="3">
        <v>45524</v>
      </c>
      <c r="C599" s="2" t="s">
        <v>27</v>
      </c>
      <c r="D599" s="2"/>
      <c r="E599" s="2" t="s">
        <v>14</v>
      </c>
      <c r="F599" s="2">
        <v>863.16</v>
      </c>
      <c r="G599" s="2">
        <v>-81.37</v>
      </c>
    </row>
    <row r="600" spans="1:7">
      <c r="A600" s="2" t="s">
        <v>617</v>
      </c>
      <c r="B600" s="3">
        <v>45525</v>
      </c>
      <c r="C600" s="2" t="s">
        <v>13</v>
      </c>
      <c r="D600" s="2" t="s">
        <v>8</v>
      </c>
      <c r="E600" s="2" t="s">
        <v>9</v>
      </c>
      <c r="F600" s="2"/>
      <c r="G600" s="2"/>
    </row>
    <row r="601" spans="1:7">
      <c r="A601" s="2" t="s">
        <v>618</v>
      </c>
      <c r="B601" s="3">
        <v>45526</v>
      </c>
      <c r="C601" s="2" t="s">
        <v>8</v>
      </c>
      <c r="D601" s="2" t="s">
        <v>14</v>
      </c>
      <c r="E601" s="2"/>
      <c r="F601" s="2"/>
      <c r="G601" s="4"/>
    </row>
    <row r="602" spans="1:7">
      <c r="A602" s="2" t="s">
        <v>619</v>
      </c>
      <c r="B602" s="3">
        <v>45527</v>
      </c>
      <c r="C602" s="2"/>
      <c r="D602" s="2"/>
      <c r="E602" s="2">
        <v>231.95</v>
      </c>
      <c r="F602" s="2">
        <v>264.17</v>
      </c>
      <c r="G602" s="4"/>
    </row>
    <row r="603" spans="1:7">
      <c r="A603" s="2" t="s">
        <v>620</v>
      </c>
      <c r="B603" s="3">
        <v>45528</v>
      </c>
      <c r="C603" s="2" t="s">
        <v>8</v>
      </c>
      <c r="D603" s="2" t="s">
        <v>14</v>
      </c>
      <c r="E603" s="2"/>
      <c r="F603" s="2">
        <v>-111.91</v>
      </c>
      <c r="G603" s="4"/>
    </row>
    <row r="604" spans="1:7">
      <c r="A604" s="2" t="s">
        <v>621</v>
      </c>
      <c r="B604" s="3">
        <v>45529</v>
      </c>
      <c r="C604" s="2" t="s">
        <v>11</v>
      </c>
      <c r="D604" s="2" t="s">
        <v>24</v>
      </c>
      <c r="E604" s="2"/>
      <c r="F604" s="2">
        <v>-61.55</v>
      </c>
      <c r="G604" s="4"/>
    </row>
    <row r="605" spans="1:7">
      <c r="A605" s="2" t="s">
        <v>622</v>
      </c>
      <c r="B605" s="3">
        <v>45530</v>
      </c>
      <c r="C605" s="2" t="s">
        <v>16</v>
      </c>
      <c r="D605" s="2" t="s">
        <v>22</v>
      </c>
      <c r="E605" s="2"/>
      <c r="F605" s="2">
        <v>941.58</v>
      </c>
      <c r="G605" s="2"/>
    </row>
    <row r="606" spans="1:7">
      <c r="A606" s="2" t="s">
        <v>623</v>
      </c>
      <c r="B606" s="3">
        <v>45531</v>
      </c>
      <c r="C606" s="2" t="s">
        <v>16</v>
      </c>
      <c r="D606" s="2" t="s">
        <v>22</v>
      </c>
      <c r="E606" s="2" t="s">
        <v>24</v>
      </c>
      <c r="F606" s="2">
        <v>453.14</v>
      </c>
      <c r="G606" s="2"/>
    </row>
    <row r="607" spans="1:7">
      <c r="A607" s="2" t="s">
        <v>624</v>
      </c>
      <c r="B607" s="3">
        <v>45532</v>
      </c>
      <c r="C607" s="2" t="s">
        <v>27</v>
      </c>
      <c r="D607" s="2"/>
      <c r="E607" s="2" t="s">
        <v>24</v>
      </c>
      <c r="F607" s="2">
        <v>633.05999999999995</v>
      </c>
      <c r="G607" s="2">
        <v>165.3</v>
      </c>
    </row>
    <row r="608" spans="1:7">
      <c r="A608" s="2" t="s">
        <v>625</v>
      </c>
      <c r="B608" s="3">
        <v>45533</v>
      </c>
      <c r="C608" s="2" t="s">
        <v>21</v>
      </c>
      <c r="D608" s="2"/>
      <c r="E608" s="2" t="s">
        <v>18</v>
      </c>
      <c r="F608" s="2"/>
      <c r="G608" s="2"/>
    </row>
    <row r="609" spans="1:7">
      <c r="A609" s="2" t="s">
        <v>626</v>
      </c>
      <c r="B609" s="3">
        <v>45534</v>
      </c>
      <c r="C609" s="2" t="s">
        <v>21</v>
      </c>
      <c r="D609" s="2" t="s">
        <v>22</v>
      </c>
      <c r="E609" s="2" t="s">
        <v>24</v>
      </c>
      <c r="F609" s="2">
        <v>953.17</v>
      </c>
      <c r="G609" s="2"/>
    </row>
    <row r="610" spans="1:7">
      <c r="A610" s="2" t="s">
        <v>627</v>
      </c>
      <c r="B610" s="3">
        <v>45535</v>
      </c>
      <c r="C610" s="2" t="s">
        <v>21</v>
      </c>
      <c r="D610" s="2" t="s">
        <v>8</v>
      </c>
      <c r="E610" s="2" t="s">
        <v>24</v>
      </c>
      <c r="F610" s="2">
        <v>85.5</v>
      </c>
      <c r="G610" s="2"/>
    </row>
    <row r="611" spans="1:7">
      <c r="A611" s="2" t="s">
        <v>628</v>
      </c>
      <c r="B611" s="3">
        <v>45536</v>
      </c>
      <c r="C611" s="2" t="s">
        <v>16</v>
      </c>
      <c r="D611" s="2" t="s">
        <v>8</v>
      </c>
      <c r="E611" s="2" t="s">
        <v>24</v>
      </c>
      <c r="F611" s="2"/>
      <c r="G611" s="2">
        <v>141.79</v>
      </c>
    </row>
    <row r="612" spans="1:7">
      <c r="A612" s="2" t="s">
        <v>629</v>
      </c>
      <c r="B612" s="3">
        <v>45537</v>
      </c>
      <c r="C612" s="2" t="s">
        <v>16</v>
      </c>
      <c r="D612" s="2" t="s">
        <v>8</v>
      </c>
      <c r="E612" s="2" t="s">
        <v>32</v>
      </c>
      <c r="F612" s="2"/>
      <c r="G612" s="2"/>
    </row>
    <row r="613" spans="1:7">
      <c r="A613" s="2" t="s">
        <v>630</v>
      </c>
      <c r="B613" s="3">
        <v>45538</v>
      </c>
      <c r="C613" s="2" t="s">
        <v>21</v>
      </c>
      <c r="D613" s="2" t="s">
        <v>11</v>
      </c>
      <c r="E613" s="2" t="s">
        <v>32</v>
      </c>
      <c r="F613" s="2"/>
      <c r="G613" s="2">
        <v>-198.4</v>
      </c>
    </row>
    <row r="614" spans="1:7">
      <c r="A614" s="2" t="s">
        <v>631</v>
      </c>
      <c r="B614" s="3">
        <v>45539</v>
      </c>
      <c r="C614" s="2" t="s">
        <v>16</v>
      </c>
      <c r="D614" s="2" t="s">
        <v>22</v>
      </c>
      <c r="E614" s="2" t="s">
        <v>14</v>
      </c>
      <c r="F614" s="2">
        <v>243.76</v>
      </c>
      <c r="G614" s="2"/>
    </row>
    <row r="615" spans="1:7">
      <c r="A615" s="2" t="s">
        <v>632</v>
      </c>
      <c r="B615" s="3">
        <v>45540</v>
      </c>
      <c r="C615" s="2" t="s">
        <v>13</v>
      </c>
      <c r="D615" s="2" t="s">
        <v>8</v>
      </c>
      <c r="E615" s="2" t="s">
        <v>24</v>
      </c>
      <c r="F615" s="2">
        <v>524.38</v>
      </c>
      <c r="G615" s="2">
        <v>7.13</v>
      </c>
    </row>
    <row r="616" spans="1:7">
      <c r="A616" s="2" t="s">
        <v>633</v>
      </c>
      <c r="B616" s="3">
        <v>45541</v>
      </c>
      <c r="C616" s="2" t="s">
        <v>21</v>
      </c>
      <c r="D616" s="2" t="s">
        <v>8</v>
      </c>
      <c r="E616" s="2">
        <v>757.65</v>
      </c>
      <c r="F616" s="2"/>
      <c r="G616" s="4"/>
    </row>
    <row r="617" spans="1:7">
      <c r="A617" s="2" t="s">
        <v>634</v>
      </c>
      <c r="B617" s="3">
        <v>45542</v>
      </c>
      <c r="C617" s="2" t="s">
        <v>13</v>
      </c>
      <c r="D617" s="2" t="s">
        <v>11</v>
      </c>
      <c r="E617" s="2" t="s">
        <v>9</v>
      </c>
      <c r="F617" s="2"/>
      <c r="G617" s="2">
        <v>204.98</v>
      </c>
    </row>
    <row r="618" spans="1:7">
      <c r="A618" s="2" t="s">
        <v>635</v>
      </c>
      <c r="B618" s="3">
        <v>45543</v>
      </c>
      <c r="C618" s="2" t="s">
        <v>8</v>
      </c>
      <c r="D618" s="2" t="s">
        <v>14</v>
      </c>
      <c r="E618" s="2"/>
      <c r="F618" s="2">
        <v>99.72</v>
      </c>
      <c r="G618" s="4"/>
    </row>
    <row r="619" spans="1:7">
      <c r="A619" s="2" t="s">
        <v>636</v>
      </c>
      <c r="B619" s="3">
        <v>45544</v>
      </c>
      <c r="C619" s="2" t="s">
        <v>27</v>
      </c>
      <c r="D619" s="2" t="s">
        <v>22</v>
      </c>
      <c r="E619" s="2" t="s">
        <v>32</v>
      </c>
      <c r="F619" s="2"/>
      <c r="G619" s="2"/>
    </row>
    <row r="620" spans="1:7">
      <c r="A620" s="2" t="s">
        <v>637</v>
      </c>
      <c r="B620" s="3">
        <v>45545</v>
      </c>
      <c r="C620" s="2" t="s">
        <v>22</v>
      </c>
      <c r="D620" s="2" t="s">
        <v>24</v>
      </c>
      <c r="E620" s="2"/>
      <c r="F620" s="2">
        <v>210.59</v>
      </c>
      <c r="G620" s="4"/>
    </row>
    <row r="621" spans="1:7">
      <c r="A621" s="2" t="s">
        <v>638</v>
      </c>
      <c r="B621" s="3">
        <v>45546</v>
      </c>
      <c r="C621" s="2"/>
      <c r="D621" s="2" t="s">
        <v>14</v>
      </c>
      <c r="E621" s="2"/>
      <c r="F621" s="2"/>
      <c r="G621" s="4"/>
    </row>
    <row r="622" spans="1:7">
      <c r="A622" s="2" t="s">
        <v>639</v>
      </c>
      <c r="B622" s="3">
        <v>45547</v>
      </c>
      <c r="C622" s="2" t="s">
        <v>27</v>
      </c>
      <c r="D622" s="2"/>
      <c r="E622" s="2" t="s">
        <v>14</v>
      </c>
      <c r="F622" s="2"/>
      <c r="G622" s="2"/>
    </row>
    <row r="623" spans="1:7">
      <c r="A623" s="2" t="s">
        <v>640</v>
      </c>
      <c r="B623" s="3">
        <v>45548</v>
      </c>
      <c r="C623" s="2" t="s">
        <v>16</v>
      </c>
      <c r="D623" s="2" t="s">
        <v>8</v>
      </c>
      <c r="E623" s="2" t="s">
        <v>9</v>
      </c>
      <c r="F623" s="2"/>
      <c r="G623" s="2"/>
    </row>
    <row r="624" spans="1:7">
      <c r="A624" s="2" t="s">
        <v>641</v>
      </c>
      <c r="B624" s="3">
        <v>45549</v>
      </c>
      <c r="C624" s="2" t="s">
        <v>27</v>
      </c>
      <c r="D624" s="2"/>
      <c r="E624" s="2"/>
      <c r="F624" s="2"/>
      <c r="G624" s="2"/>
    </row>
    <row r="625" spans="1:7">
      <c r="A625" s="2" t="s">
        <v>642</v>
      </c>
      <c r="B625" s="3">
        <v>45550</v>
      </c>
      <c r="C625" s="2" t="s">
        <v>22</v>
      </c>
      <c r="D625" s="2" t="s">
        <v>14</v>
      </c>
      <c r="E625" s="2">
        <v>80.69</v>
      </c>
      <c r="F625" s="2"/>
      <c r="G625" s="4"/>
    </row>
    <row r="626" spans="1:7">
      <c r="A626" s="2" t="s">
        <v>643</v>
      </c>
      <c r="B626" s="3">
        <v>45551</v>
      </c>
      <c r="C626" s="2" t="s">
        <v>27</v>
      </c>
      <c r="D626" s="2" t="s">
        <v>11</v>
      </c>
      <c r="E626" s="2" t="s">
        <v>32</v>
      </c>
      <c r="F626" s="2">
        <v>487.26</v>
      </c>
      <c r="G626" s="2">
        <v>-101.61</v>
      </c>
    </row>
    <row r="627" spans="1:7">
      <c r="A627" s="2" t="s">
        <v>644</v>
      </c>
      <c r="B627" s="3">
        <v>45552</v>
      </c>
      <c r="C627" s="2" t="s">
        <v>13</v>
      </c>
      <c r="D627" s="2"/>
      <c r="E627" s="2"/>
      <c r="F627" s="2">
        <v>803.73</v>
      </c>
      <c r="G627" s="2">
        <v>175.63</v>
      </c>
    </row>
    <row r="628" spans="1:7">
      <c r="A628" s="2" t="s">
        <v>645</v>
      </c>
      <c r="B628" s="3">
        <v>45553</v>
      </c>
      <c r="C628" s="2" t="s">
        <v>27</v>
      </c>
      <c r="D628" s="2" t="s">
        <v>11</v>
      </c>
      <c r="E628" s="2" t="s">
        <v>32</v>
      </c>
      <c r="F628" s="2"/>
      <c r="G628" s="2">
        <v>37.54</v>
      </c>
    </row>
    <row r="629" spans="1:7">
      <c r="A629" s="2" t="s">
        <v>646</v>
      </c>
      <c r="B629" s="3">
        <v>45554</v>
      </c>
      <c r="C629" s="2" t="s">
        <v>11</v>
      </c>
      <c r="D629" s="2" t="s">
        <v>14</v>
      </c>
      <c r="E629" s="2"/>
      <c r="F629" s="2">
        <v>62.01</v>
      </c>
      <c r="G629" s="4"/>
    </row>
    <row r="630" spans="1:7">
      <c r="A630" s="2" t="s">
        <v>647</v>
      </c>
      <c r="B630" s="3">
        <v>45555</v>
      </c>
      <c r="C630" s="2" t="s">
        <v>16</v>
      </c>
      <c r="D630" s="2" t="s">
        <v>8</v>
      </c>
      <c r="E630" s="2"/>
      <c r="F630" s="2">
        <v>126.47</v>
      </c>
      <c r="G630" s="4"/>
    </row>
    <row r="631" spans="1:7">
      <c r="A631" s="2" t="s">
        <v>648</v>
      </c>
      <c r="B631" s="3">
        <v>45556</v>
      </c>
      <c r="C631" s="2" t="s">
        <v>13</v>
      </c>
      <c r="D631" s="2" t="s">
        <v>11</v>
      </c>
      <c r="E631" s="2" t="s">
        <v>14</v>
      </c>
      <c r="F631" s="2">
        <v>519.27</v>
      </c>
      <c r="G631" s="2">
        <v>183.06</v>
      </c>
    </row>
    <row r="632" spans="1:7">
      <c r="A632" s="2" t="s">
        <v>649</v>
      </c>
      <c r="B632" s="3">
        <v>45557</v>
      </c>
      <c r="C632" s="2" t="s">
        <v>16</v>
      </c>
      <c r="D632" s="2" t="s">
        <v>11</v>
      </c>
      <c r="E632" s="2" t="s">
        <v>32</v>
      </c>
      <c r="F632" s="2">
        <v>610.9</v>
      </c>
      <c r="G632" s="2">
        <v>30.09</v>
      </c>
    </row>
    <row r="633" spans="1:7">
      <c r="A633" s="2" t="s">
        <v>650</v>
      </c>
      <c r="B633" s="3">
        <v>45558</v>
      </c>
      <c r="C633" s="2" t="s">
        <v>27</v>
      </c>
      <c r="D633" s="2" t="s">
        <v>22</v>
      </c>
      <c r="E633" s="2" t="s">
        <v>32</v>
      </c>
      <c r="F633" s="2">
        <v>271.01</v>
      </c>
      <c r="G633" s="2">
        <v>-40.630000000000003</v>
      </c>
    </row>
    <row r="634" spans="1:7">
      <c r="A634" s="2" t="s">
        <v>651</v>
      </c>
      <c r="B634" s="3">
        <v>45559</v>
      </c>
      <c r="C634" s="2" t="s">
        <v>16</v>
      </c>
      <c r="D634" s="2" t="s">
        <v>8</v>
      </c>
      <c r="E634" s="2"/>
      <c r="F634" s="2"/>
      <c r="G634" s="4"/>
    </row>
    <row r="635" spans="1:7">
      <c r="A635" s="2" t="s">
        <v>652</v>
      </c>
      <c r="B635" s="3">
        <v>45560</v>
      </c>
      <c r="C635" s="2" t="s">
        <v>8</v>
      </c>
      <c r="D635" s="2" t="s">
        <v>9</v>
      </c>
      <c r="E635" s="2"/>
      <c r="F635" s="2"/>
      <c r="G635" s="4"/>
    </row>
    <row r="636" spans="1:7">
      <c r="A636" s="2" t="s">
        <v>653</v>
      </c>
      <c r="B636" s="3">
        <v>45561</v>
      </c>
      <c r="C636" s="2" t="s">
        <v>8</v>
      </c>
      <c r="D636" s="2" t="s">
        <v>14</v>
      </c>
      <c r="E636" s="2">
        <v>987.78</v>
      </c>
      <c r="F636" s="2">
        <v>-112.76</v>
      </c>
      <c r="G636" s="4"/>
    </row>
    <row r="637" spans="1:7">
      <c r="A637" s="2" t="s">
        <v>654</v>
      </c>
      <c r="B637" s="3">
        <v>45562</v>
      </c>
      <c r="C637" s="2" t="s">
        <v>22</v>
      </c>
      <c r="D637" s="2" t="s">
        <v>9</v>
      </c>
      <c r="E637" s="2">
        <v>738.11</v>
      </c>
      <c r="F637" s="2">
        <v>-135.22</v>
      </c>
      <c r="G637" s="4"/>
    </row>
    <row r="638" spans="1:7">
      <c r="A638" s="2" t="s">
        <v>655</v>
      </c>
      <c r="B638" s="3">
        <v>45563</v>
      </c>
      <c r="C638" s="2" t="s">
        <v>27</v>
      </c>
      <c r="D638" s="2" t="s">
        <v>22</v>
      </c>
      <c r="E638" s="2" t="s">
        <v>32</v>
      </c>
      <c r="F638" s="2"/>
      <c r="G638" s="2">
        <v>177.42</v>
      </c>
    </row>
    <row r="639" spans="1:7">
      <c r="A639" s="2" t="s">
        <v>656</v>
      </c>
      <c r="B639" s="3">
        <v>45564</v>
      </c>
      <c r="C639" s="2" t="s">
        <v>13</v>
      </c>
      <c r="D639" s="2" t="s">
        <v>8</v>
      </c>
      <c r="E639" s="2" t="s">
        <v>18</v>
      </c>
      <c r="F639" s="2"/>
      <c r="G639" s="2">
        <v>8.9499999999999993</v>
      </c>
    </row>
    <row r="640" spans="1:7">
      <c r="A640" s="2" t="s">
        <v>657</v>
      </c>
      <c r="B640" s="3">
        <v>45565</v>
      </c>
      <c r="C640" s="2" t="s">
        <v>21</v>
      </c>
      <c r="D640" s="2" t="s">
        <v>11</v>
      </c>
      <c r="E640" s="2"/>
      <c r="F640" s="2">
        <v>990.75</v>
      </c>
      <c r="G640" s="2">
        <v>-192.97</v>
      </c>
    </row>
    <row r="641" spans="1:7">
      <c r="A641" s="2" t="s">
        <v>658</v>
      </c>
      <c r="B641" s="3">
        <v>45566</v>
      </c>
      <c r="C641" s="2" t="s">
        <v>21</v>
      </c>
      <c r="D641" s="2" t="s">
        <v>22</v>
      </c>
      <c r="E641" s="2" t="s">
        <v>18</v>
      </c>
      <c r="F641" s="2"/>
      <c r="G641" s="2">
        <v>179.29</v>
      </c>
    </row>
    <row r="642" spans="1:7">
      <c r="A642" s="2" t="s">
        <v>659</v>
      </c>
      <c r="B642" s="3">
        <v>45567</v>
      </c>
      <c r="C642" s="2" t="s">
        <v>21</v>
      </c>
      <c r="D642" s="2" t="s">
        <v>8</v>
      </c>
      <c r="E642" s="2" t="s">
        <v>32</v>
      </c>
      <c r="F642" s="2">
        <v>496.46</v>
      </c>
      <c r="G642" s="2">
        <v>-33.5</v>
      </c>
    </row>
    <row r="643" spans="1:7">
      <c r="A643" s="2" t="s">
        <v>660</v>
      </c>
      <c r="B643" s="3">
        <v>45568</v>
      </c>
      <c r="C643" s="2" t="s">
        <v>16</v>
      </c>
      <c r="D643" s="2" t="s">
        <v>8</v>
      </c>
      <c r="E643" s="2" t="s">
        <v>32</v>
      </c>
      <c r="F643" s="2">
        <v>825.51</v>
      </c>
      <c r="G643" s="2"/>
    </row>
    <row r="644" spans="1:7">
      <c r="A644" s="2" t="s">
        <v>661</v>
      </c>
      <c r="B644" s="3">
        <v>45569</v>
      </c>
      <c r="C644" s="2" t="s">
        <v>27</v>
      </c>
      <c r="D644" s="2" t="s">
        <v>8</v>
      </c>
      <c r="E644" s="2" t="s">
        <v>14</v>
      </c>
      <c r="F644" s="2"/>
      <c r="G644" s="2"/>
    </row>
    <row r="645" spans="1:7">
      <c r="A645" s="2" t="s">
        <v>662</v>
      </c>
      <c r="B645" s="3">
        <v>45570</v>
      </c>
      <c r="C645" s="2"/>
      <c r="D645" s="2"/>
      <c r="E645" s="2">
        <v>478.95</v>
      </c>
      <c r="F645" s="2">
        <v>249.82</v>
      </c>
      <c r="G645" s="4"/>
    </row>
    <row r="646" spans="1:7">
      <c r="A646" s="2" t="s">
        <v>663</v>
      </c>
      <c r="B646" s="3">
        <v>45571</v>
      </c>
      <c r="C646" s="2" t="s">
        <v>13</v>
      </c>
      <c r="D646" s="2" t="s">
        <v>8</v>
      </c>
      <c r="E646" s="2" t="s">
        <v>9</v>
      </c>
      <c r="F646" s="2">
        <v>205.46</v>
      </c>
      <c r="G646" s="2">
        <v>-46.32</v>
      </c>
    </row>
    <row r="647" spans="1:7">
      <c r="A647" s="2" t="s">
        <v>664</v>
      </c>
      <c r="B647" s="3">
        <v>45572</v>
      </c>
      <c r="C647" s="2" t="s">
        <v>13</v>
      </c>
      <c r="D647" s="2"/>
      <c r="E647" s="2" t="s">
        <v>24</v>
      </c>
      <c r="F647" s="2"/>
      <c r="G647" s="2"/>
    </row>
    <row r="648" spans="1:7">
      <c r="A648" s="2" t="s">
        <v>665</v>
      </c>
      <c r="B648" s="3">
        <v>45573</v>
      </c>
      <c r="C648" s="2" t="s">
        <v>8</v>
      </c>
      <c r="D648" s="2" t="s">
        <v>9</v>
      </c>
      <c r="E648" s="2"/>
      <c r="F648" s="2">
        <v>210.11</v>
      </c>
      <c r="G648" s="4"/>
    </row>
    <row r="649" spans="1:7">
      <c r="A649" s="2" t="s">
        <v>666</v>
      </c>
      <c r="B649" s="3">
        <v>45574</v>
      </c>
      <c r="C649" s="2" t="s">
        <v>27</v>
      </c>
      <c r="D649" s="2" t="s">
        <v>8</v>
      </c>
      <c r="E649" s="2" t="s">
        <v>14</v>
      </c>
      <c r="F649" s="2"/>
      <c r="G649" s="2"/>
    </row>
    <row r="650" spans="1:7">
      <c r="A650" s="2" t="s">
        <v>667</v>
      </c>
      <c r="B650" s="3">
        <v>45575</v>
      </c>
      <c r="C650" s="2" t="s">
        <v>16</v>
      </c>
      <c r="D650" s="2" t="s">
        <v>8</v>
      </c>
      <c r="E650" s="2" t="s">
        <v>9</v>
      </c>
      <c r="F650" s="2">
        <v>60.9</v>
      </c>
      <c r="G650" s="2">
        <v>-165.49</v>
      </c>
    </row>
    <row r="651" spans="1:7">
      <c r="A651" s="2" t="s">
        <v>668</v>
      </c>
      <c r="B651" s="3">
        <v>45576</v>
      </c>
      <c r="C651" s="2" t="s">
        <v>27</v>
      </c>
      <c r="D651" s="2" t="s">
        <v>22</v>
      </c>
      <c r="E651" s="2" t="s">
        <v>32</v>
      </c>
      <c r="F651" s="2"/>
      <c r="G651" s="2"/>
    </row>
    <row r="652" spans="1:7">
      <c r="A652" s="2" t="s">
        <v>669</v>
      </c>
      <c r="B652" s="3">
        <v>45577</v>
      </c>
      <c r="C652" s="2" t="s">
        <v>16</v>
      </c>
      <c r="D652" s="2" t="s">
        <v>8</v>
      </c>
      <c r="E652" s="2" t="s">
        <v>24</v>
      </c>
      <c r="F652" s="2"/>
      <c r="G652" s="2">
        <v>-192</v>
      </c>
    </row>
    <row r="653" spans="1:7">
      <c r="A653" s="2" t="s">
        <v>670</v>
      </c>
      <c r="B653" s="3">
        <v>45578</v>
      </c>
      <c r="C653" s="2" t="s">
        <v>27</v>
      </c>
      <c r="D653" s="2" t="s">
        <v>11</v>
      </c>
      <c r="E653" s="2" t="s">
        <v>14</v>
      </c>
      <c r="F653" s="2"/>
      <c r="G653" s="2"/>
    </row>
    <row r="654" spans="1:7">
      <c r="A654" s="2" t="s">
        <v>671</v>
      </c>
      <c r="B654" s="3">
        <v>45579</v>
      </c>
      <c r="C654" s="2" t="s">
        <v>16</v>
      </c>
      <c r="D654" s="2"/>
      <c r="E654" s="2" t="s">
        <v>9</v>
      </c>
      <c r="F654" s="2">
        <v>326.58999999999997</v>
      </c>
      <c r="G654" s="2">
        <v>-99.81</v>
      </c>
    </row>
    <row r="655" spans="1:7">
      <c r="A655" s="2" t="s">
        <v>672</v>
      </c>
      <c r="B655" s="3">
        <v>45580</v>
      </c>
      <c r="C655" s="2" t="s">
        <v>11</v>
      </c>
      <c r="D655" s="2" t="s">
        <v>24</v>
      </c>
      <c r="E655" s="2">
        <v>232.29</v>
      </c>
      <c r="F655" s="2">
        <v>61.64</v>
      </c>
      <c r="G655" s="4"/>
    </row>
    <row r="656" spans="1:7">
      <c r="A656" s="2" t="s">
        <v>673</v>
      </c>
      <c r="B656" s="3">
        <v>45581</v>
      </c>
      <c r="C656" s="2" t="s">
        <v>8</v>
      </c>
      <c r="D656" s="2" t="s">
        <v>32</v>
      </c>
      <c r="E656" s="2"/>
      <c r="F656" s="2"/>
      <c r="G656" s="4"/>
    </row>
    <row r="657" spans="1:7">
      <c r="A657" s="2" t="s">
        <v>674</v>
      </c>
      <c r="B657" s="3">
        <v>45582</v>
      </c>
      <c r="C657" s="2" t="s">
        <v>21</v>
      </c>
      <c r="D657" s="2" t="s">
        <v>8</v>
      </c>
      <c r="E657" s="2" t="s">
        <v>24</v>
      </c>
      <c r="F657" s="2">
        <v>767.83</v>
      </c>
      <c r="G657" s="2"/>
    </row>
    <row r="658" spans="1:7">
      <c r="A658" s="2" t="s">
        <v>675</v>
      </c>
      <c r="B658" s="3">
        <v>45583</v>
      </c>
      <c r="C658" s="2" t="s">
        <v>16</v>
      </c>
      <c r="D658" s="2"/>
      <c r="E658" s="2" t="s">
        <v>9</v>
      </c>
      <c r="F658" s="2">
        <v>657.98</v>
      </c>
      <c r="G658" s="2">
        <v>185.04</v>
      </c>
    </row>
    <row r="659" spans="1:7">
      <c r="A659" s="2" t="s">
        <v>676</v>
      </c>
      <c r="B659" s="3">
        <v>45584</v>
      </c>
      <c r="C659" s="2" t="s">
        <v>13</v>
      </c>
      <c r="D659" s="2" t="s">
        <v>8</v>
      </c>
      <c r="E659" s="2" t="s">
        <v>24</v>
      </c>
      <c r="F659" s="2"/>
      <c r="G659" s="2">
        <v>-65.44</v>
      </c>
    </row>
    <row r="660" spans="1:7">
      <c r="A660" s="2" t="s">
        <v>677</v>
      </c>
      <c r="B660" s="3">
        <v>45585</v>
      </c>
      <c r="C660" s="2" t="s">
        <v>27</v>
      </c>
      <c r="D660" s="2" t="s">
        <v>22</v>
      </c>
      <c r="E660" s="2" t="s">
        <v>9</v>
      </c>
      <c r="F660" s="2">
        <v>863.22</v>
      </c>
      <c r="G660" s="2">
        <v>170.82</v>
      </c>
    </row>
    <row r="661" spans="1:7">
      <c r="A661" s="2" t="s">
        <v>678</v>
      </c>
      <c r="B661" s="3">
        <v>45586</v>
      </c>
      <c r="C661" s="2" t="s">
        <v>13</v>
      </c>
      <c r="D661" s="2" t="s">
        <v>11</v>
      </c>
      <c r="E661" s="2"/>
      <c r="F661" s="2"/>
      <c r="G661" s="2"/>
    </row>
    <row r="662" spans="1:7">
      <c r="A662" s="2" t="s">
        <v>679</v>
      </c>
      <c r="B662" s="3">
        <v>45587</v>
      </c>
      <c r="C662" s="2" t="s">
        <v>21</v>
      </c>
      <c r="D662" s="2" t="s">
        <v>11</v>
      </c>
      <c r="E662" s="2" t="s">
        <v>18</v>
      </c>
      <c r="F662" s="2"/>
      <c r="G662" s="2"/>
    </row>
    <row r="663" spans="1:7">
      <c r="A663" s="2" t="s">
        <v>680</v>
      </c>
      <c r="B663" s="3">
        <v>45588</v>
      </c>
      <c r="C663" s="2" t="s">
        <v>21</v>
      </c>
      <c r="D663" s="2"/>
      <c r="E663" s="2" t="s">
        <v>14</v>
      </c>
      <c r="F663" s="2">
        <v>684.35</v>
      </c>
      <c r="G663" s="2">
        <v>-140.22</v>
      </c>
    </row>
    <row r="664" spans="1:7">
      <c r="A664" s="2" t="s">
        <v>681</v>
      </c>
      <c r="B664" s="3">
        <v>45589</v>
      </c>
      <c r="C664" s="2" t="s">
        <v>11</v>
      </c>
      <c r="D664" s="2"/>
      <c r="E664" s="2"/>
      <c r="F664" s="2">
        <v>163.54</v>
      </c>
      <c r="G664" s="4"/>
    </row>
    <row r="665" spans="1:7">
      <c r="A665" s="2" t="s">
        <v>682</v>
      </c>
      <c r="B665" s="3">
        <v>45590</v>
      </c>
      <c r="C665" s="2" t="s">
        <v>13</v>
      </c>
      <c r="D665" s="2" t="s">
        <v>22</v>
      </c>
      <c r="E665" s="2" t="s">
        <v>18</v>
      </c>
      <c r="F665" s="2"/>
      <c r="G665" s="2">
        <v>-105.99</v>
      </c>
    </row>
    <row r="666" spans="1:7">
      <c r="A666" s="2" t="s">
        <v>683</v>
      </c>
      <c r="B666" s="3">
        <v>45591</v>
      </c>
      <c r="C666" s="2" t="s">
        <v>21</v>
      </c>
      <c r="D666" s="2" t="s">
        <v>22</v>
      </c>
      <c r="E666" s="2" t="s">
        <v>14</v>
      </c>
      <c r="F666" s="2">
        <v>90.65</v>
      </c>
      <c r="G666" s="2"/>
    </row>
    <row r="667" spans="1:7">
      <c r="A667" s="2" t="s">
        <v>684</v>
      </c>
      <c r="B667" s="3">
        <v>45592</v>
      </c>
      <c r="C667" s="2" t="s">
        <v>21</v>
      </c>
      <c r="D667" s="2"/>
      <c r="E667" s="2" t="s">
        <v>18</v>
      </c>
      <c r="F667" s="2">
        <v>355.82</v>
      </c>
      <c r="G667" s="2">
        <v>112.35</v>
      </c>
    </row>
    <row r="668" spans="1:7">
      <c r="A668" s="2" t="s">
        <v>685</v>
      </c>
      <c r="B668" s="3">
        <v>45593</v>
      </c>
      <c r="C668" s="2" t="s">
        <v>13</v>
      </c>
      <c r="D668" s="2"/>
      <c r="E668" s="2" t="s">
        <v>24</v>
      </c>
      <c r="F668" s="2"/>
      <c r="G668" s="2">
        <v>58.01</v>
      </c>
    </row>
    <row r="669" spans="1:7">
      <c r="A669" s="2" t="s">
        <v>686</v>
      </c>
      <c r="B669" s="3">
        <v>45594</v>
      </c>
      <c r="C669" s="2" t="s">
        <v>27</v>
      </c>
      <c r="D669" s="2" t="s">
        <v>22</v>
      </c>
      <c r="E669" s="2" t="s">
        <v>18</v>
      </c>
      <c r="F669" s="2">
        <v>58.31</v>
      </c>
      <c r="G669" s="2">
        <v>215.78</v>
      </c>
    </row>
    <row r="670" spans="1:7">
      <c r="A670" s="2" t="s">
        <v>687</v>
      </c>
      <c r="B670" s="3">
        <v>45595</v>
      </c>
      <c r="C670" s="2" t="s">
        <v>13</v>
      </c>
      <c r="D670" s="2" t="s">
        <v>22</v>
      </c>
      <c r="E670" s="2" t="s">
        <v>14</v>
      </c>
      <c r="F670" s="2">
        <v>608.35</v>
      </c>
      <c r="G670" s="2">
        <v>183.4</v>
      </c>
    </row>
    <row r="671" spans="1:7">
      <c r="A671" s="2" t="s">
        <v>688</v>
      </c>
      <c r="B671" s="3">
        <v>45596</v>
      </c>
      <c r="C671" s="2" t="s">
        <v>13</v>
      </c>
      <c r="D671" s="2" t="s">
        <v>8</v>
      </c>
      <c r="E671" s="2" t="s">
        <v>9</v>
      </c>
      <c r="F671" s="2">
        <v>324.45</v>
      </c>
      <c r="G671" s="2">
        <v>49.38</v>
      </c>
    </row>
    <row r="672" spans="1:7">
      <c r="A672" s="2" t="s">
        <v>689</v>
      </c>
      <c r="B672" s="3">
        <v>45597</v>
      </c>
      <c r="C672" s="2" t="s">
        <v>16</v>
      </c>
      <c r="D672" s="2" t="s">
        <v>11</v>
      </c>
      <c r="E672" s="2" t="s">
        <v>18</v>
      </c>
      <c r="F672" s="2">
        <v>582.25</v>
      </c>
      <c r="G672" s="2"/>
    </row>
    <row r="673" spans="1:7">
      <c r="A673" s="2" t="s">
        <v>690</v>
      </c>
      <c r="B673" s="3">
        <v>45598</v>
      </c>
      <c r="C673" s="2" t="s">
        <v>13</v>
      </c>
      <c r="D673" s="2" t="s">
        <v>8</v>
      </c>
      <c r="E673" s="2"/>
      <c r="F673" s="2"/>
      <c r="G673" s="4"/>
    </row>
    <row r="674" spans="1:7">
      <c r="A674" s="2" t="s">
        <v>691</v>
      </c>
      <c r="B674" s="3">
        <v>45599</v>
      </c>
      <c r="C674" s="2"/>
      <c r="D674" s="2" t="s">
        <v>18</v>
      </c>
      <c r="E674" s="2"/>
      <c r="F674" s="2"/>
      <c r="G674" s="4"/>
    </row>
    <row r="675" spans="1:7">
      <c r="A675" s="2" t="s">
        <v>692</v>
      </c>
      <c r="B675" s="3">
        <v>45600</v>
      </c>
      <c r="C675" s="2" t="s">
        <v>8</v>
      </c>
      <c r="D675" s="2" t="s">
        <v>24</v>
      </c>
      <c r="E675" s="2">
        <v>787.5</v>
      </c>
      <c r="F675" s="2">
        <v>-153.01</v>
      </c>
      <c r="G675" s="4"/>
    </row>
    <row r="676" spans="1:7">
      <c r="A676" s="2" t="s">
        <v>693</v>
      </c>
      <c r="B676" s="3">
        <v>45601</v>
      </c>
      <c r="C676" s="2" t="s">
        <v>27</v>
      </c>
      <c r="D676" s="2"/>
      <c r="E676" s="2" t="s">
        <v>14</v>
      </c>
      <c r="F676" s="2">
        <v>923.91</v>
      </c>
      <c r="G676" s="2"/>
    </row>
    <row r="677" spans="1:7">
      <c r="A677" s="2" t="s">
        <v>694</v>
      </c>
      <c r="B677" s="3">
        <v>45602</v>
      </c>
      <c r="C677" s="2" t="s">
        <v>16</v>
      </c>
      <c r="D677" s="2"/>
      <c r="E677" s="2" t="s">
        <v>18</v>
      </c>
      <c r="F677" s="2"/>
      <c r="G677" s="2"/>
    </row>
    <row r="678" spans="1:7">
      <c r="A678" s="2" t="s">
        <v>695</v>
      </c>
      <c r="B678" s="3">
        <v>45603</v>
      </c>
      <c r="C678" s="2" t="s">
        <v>27</v>
      </c>
      <c r="D678" s="2" t="s">
        <v>8</v>
      </c>
      <c r="E678" s="2" t="s">
        <v>14</v>
      </c>
      <c r="F678" s="2"/>
      <c r="G678" s="2"/>
    </row>
    <row r="679" spans="1:7">
      <c r="A679" s="2" t="s">
        <v>696</v>
      </c>
      <c r="B679" s="3">
        <v>45604</v>
      </c>
      <c r="C679" s="2" t="s">
        <v>16</v>
      </c>
      <c r="D679" s="2"/>
      <c r="E679" s="2"/>
      <c r="F679" s="2">
        <v>205.64</v>
      </c>
      <c r="G679" s="2">
        <v>236.04</v>
      </c>
    </row>
    <row r="680" spans="1:7">
      <c r="A680" s="2" t="s">
        <v>697</v>
      </c>
      <c r="B680" s="3">
        <v>45605</v>
      </c>
      <c r="C680" s="2" t="s">
        <v>27</v>
      </c>
      <c r="D680" s="2"/>
      <c r="E680" s="2" t="s">
        <v>18</v>
      </c>
      <c r="F680" s="2">
        <v>115.29</v>
      </c>
      <c r="G680" s="2">
        <v>68.319999999999993</v>
      </c>
    </row>
    <row r="681" spans="1:7">
      <c r="A681" s="2" t="s">
        <v>698</v>
      </c>
      <c r="B681" s="3">
        <v>45606</v>
      </c>
      <c r="C681" s="2" t="s">
        <v>13</v>
      </c>
      <c r="D681" s="2"/>
      <c r="E681" s="2" t="s">
        <v>32</v>
      </c>
      <c r="F681" s="2">
        <v>622.52</v>
      </c>
      <c r="G681" s="2"/>
    </row>
    <row r="682" spans="1:7">
      <c r="A682" s="2" t="s">
        <v>699</v>
      </c>
      <c r="B682" s="3">
        <v>45607</v>
      </c>
      <c r="C682" s="2" t="s">
        <v>27</v>
      </c>
      <c r="D682" s="2" t="s">
        <v>8</v>
      </c>
      <c r="E682" s="2" t="s">
        <v>18</v>
      </c>
      <c r="F682" s="2"/>
      <c r="G682" s="2">
        <v>136.82</v>
      </c>
    </row>
    <row r="683" spans="1:7">
      <c r="A683" s="2" t="s">
        <v>700</v>
      </c>
      <c r="B683" s="3">
        <v>45608</v>
      </c>
      <c r="C683" s="2" t="s">
        <v>21</v>
      </c>
      <c r="D683" s="2"/>
      <c r="E683" s="2" t="s">
        <v>18</v>
      </c>
      <c r="F683" s="2">
        <v>564.29999999999995</v>
      </c>
      <c r="G683" s="2"/>
    </row>
    <row r="684" spans="1:7">
      <c r="A684" s="2" t="s">
        <v>701</v>
      </c>
      <c r="B684" s="3">
        <v>45609</v>
      </c>
      <c r="C684" s="2" t="s">
        <v>21</v>
      </c>
      <c r="D684" s="2" t="s">
        <v>11</v>
      </c>
      <c r="E684" s="2"/>
      <c r="F684" s="2">
        <v>391.31</v>
      </c>
      <c r="G684" s="2"/>
    </row>
    <row r="685" spans="1:7">
      <c r="A685" s="2" t="s">
        <v>702</v>
      </c>
      <c r="B685" s="3">
        <v>45610</v>
      </c>
      <c r="C685" s="2" t="s">
        <v>27</v>
      </c>
      <c r="D685" s="2"/>
      <c r="E685" s="2" t="s">
        <v>18</v>
      </c>
      <c r="F685" s="2">
        <v>693.88</v>
      </c>
      <c r="G685" s="2">
        <v>113.01</v>
      </c>
    </row>
    <row r="686" spans="1:7">
      <c r="A686" s="2" t="s">
        <v>703</v>
      </c>
      <c r="B686" s="3">
        <v>45611</v>
      </c>
      <c r="C686" s="2" t="s">
        <v>13</v>
      </c>
      <c r="D686" s="2" t="s">
        <v>22</v>
      </c>
      <c r="E686" s="2" t="s">
        <v>9</v>
      </c>
      <c r="F686" s="2"/>
      <c r="G686" s="2">
        <v>96.61</v>
      </c>
    </row>
    <row r="687" spans="1:7">
      <c r="A687" s="2" t="s">
        <v>704</v>
      </c>
      <c r="B687" s="3">
        <v>45612</v>
      </c>
      <c r="C687" s="2" t="s">
        <v>21</v>
      </c>
      <c r="D687" s="2" t="s">
        <v>11</v>
      </c>
      <c r="E687" s="2" t="s">
        <v>18</v>
      </c>
      <c r="F687" s="2">
        <v>914.44</v>
      </c>
      <c r="G687" s="2"/>
    </row>
    <row r="688" spans="1:7">
      <c r="A688" s="2" t="s">
        <v>705</v>
      </c>
      <c r="B688" s="3">
        <v>45613</v>
      </c>
      <c r="C688" s="2" t="s">
        <v>21</v>
      </c>
      <c r="D688" s="2" t="s">
        <v>8</v>
      </c>
      <c r="E688" s="2" t="s">
        <v>9</v>
      </c>
      <c r="F688" s="2"/>
      <c r="G688" s="2">
        <v>-43.59</v>
      </c>
    </row>
    <row r="689" spans="1:7">
      <c r="A689" s="2" t="s">
        <v>706</v>
      </c>
      <c r="B689" s="3">
        <v>45614</v>
      </c>
      <c r="C689" s="2" t="s">
        <v>11</v>
      </c>
      <c r="D689" s="2" t="s">
        <v>14</v>
      </c>
      <c r="E689" s="2"/>
      <c r="F689" s="2"/>
      <c r="G689" s="4"/>
    </row>
    <row r="690" spans="1:7">
      <c r="A690" s="2" t="s">
        <v>707</v>
      </c>
      <c r="B690" s="3">
        <v>45615</v>
      </c>
      <c r="C690" s="2" t="s">
        <v>8</v>
      </c>
      <c r="D690" s="2">
        <v>985.44</v>
      </c>
      <c r="E690" s="2">
        <v>265.91000000000003</v>
      </c>
      <c r="F690" s="4"/>
      <c r="G690" s="4"/>
    </row>
    <row r="691" spans="1:7">
      <c r="A691" s="2" t="s">
        <v>708</v>
      </c>
      <c r="B691" s="3">
        <v>45616</v>
      </c>
      <c r="C691" s="2" t="s">
        <v>16</v>
      </c>
      <c r="D691" s="2"/>
      <c r="E691" s="2" t="s">
        <v>32</v>
      </c>
      <c r="F691" s="2"/>
      <c r="G691" s="2"/>
    </row>
    <row r="692" spans="1:7">
      <c r="A692" s="2" t="s">
        <v>709</v>
      </c>
      <c r="B692" s="3">
        <v>45617</v>
      </c>
      <c r="C692" s="2" t="s">
        <v>16</v>
      </c>
      <c r="D692" s="2" t="s">
        <v>8</v>
      </c>
      <c r="E692" s="2" t="s">
        <v>18</v>
      </c>
      <c r="F692" s="2"/>
      <c r="G692" s="2"/>
    </row>
    <row r="693" spans="1:7">
      <c r="A693" s="2" t="s">
        <v>710</v>
      </c>
      <c r="B693" s="3">
        <v>45618</v>
      </c>
      <c r="C693" s="2" t="s">
        <v>27</v>
      </c>
      <c r="D693" s="2"/>
      <c r="E693" s="2" t="s">
        <v>24</v>
      </c>
      <c r="F693" s="2">
        <v>977.78</v>
      </c>
      <c r="G693" s="2">
        <v>-192.37</v>
      </c>
    </row>
    <row r="694" spans="1:7">
      <c r="A694" s="2" t="s">
        <v>711</v>
      </c>
      <c r="B694" s="3">
        <v>45619</v>
      </c>
      <c r="C694" s="2" t="s">
        <v>21</v>
      </c>
      <c r="D694" s="2" t="s">
        <v>22</v>
      </c>
      <c r="E694" s="2" t="s">
        <v>24</v>
      </c>
      <c r="F694" s="2">
        <v>797.02</v>
      </c>
      <c r="G694" s="2"/>
    </row>
    <row r="695" spans="1:7">
      <c r="A695" s="2" t="s">
        <v>712</v>
      </c>
      <c r="B695" s="3">
        <v>45620</v>
      </c>
      <c r="C695" s="2" t="s">
        <v>16</v>
      </c>
      <c r="D695" s="2" t="s">
        <v>11</v>
      </c>
      <c r="E695" s="2"/>
      <c r="F695" s="2">
        <v>815.19</v>
      </c>
      <c r="G695" s="2"/>
    </row>
    <row r="696" spans="1:7">
      <c r="A696" s="2" t="s">
        <v>713</v>
      </c>
      <c r="B696" s="3">
        <v>45621</v>
      </c>
      <c r="C696" s="2" t="s">
        <v>22</v>
      </c>
      <c r="D696" s="2" t="s">
        <v>14</v>
      </c>
      <c r="E696" s="2">
        <v>590.21</v>
      </c>
      <c r="F696" s="2"/>
      <c r="G696" s="4"/>
    </row>
    <row r="697" spans="1:7">
      <c r="A697" s="2" t="s">
        <v>714</v>
      </c>
      <c r="B697" s="3">
        <v>45622</v>
      </c>
      <c r="C697" s="2"/>
      <c r="D697" s="2" t="s">
        <v>14</v>
      </c>
      <c r="E697" s="2"/>
      <c r="F697" s="2">
        <v>176.26</v>
      </c>
      <c r="G697" s="4"/>
    </row>
    <row r="698" spans="1:7">
      <c r="A698" s="2" t="s">
        <v>715</v>
      </c>
      <c r="B698" s="3">
        <v>45623</v>
      </c>
      <c r="C698" s="2" t="s">
        <v>27</v>
      </c>
      <c r="D698" s="2" t="s">
        <v>11</v>
      </c>
      <c r="E698" s="2" t="s">
        <v>32</v>
      </c>
      <c r="F698" s="2"/>
      <c r="G698" s="2"/>
    </row>
    <row r="699" spans="1:7">
      <c r="A699" s="2" t="s">
        <v>716</v>
      </c>
      <c r="B699" s="3">
        <v>45624</v>
      </c>
      <c r="C699" s="2" t="s">
        <v>21</v>
      </c>
      <c r="D699" s="2"/>
      <c r="E699" s="2" t="s">
        <v>18</v>
      </c>
      <c r="F699" s="2">
        <v>541.28</v>
      </c>
      <c r="G699" s="2"/>
    </row>
    <row r="700" spans="1:7">
      <c r="A700" s="2" t="s">
        <v>717</v>
      </c>
      <c r="B700" s="3">
        <v>45625</v>
      </c>
      <c r="C700" s="2" t="s">
        <v>8</v>
      </c>
      <c r="D700" s="2" t="s">
        <v>14</v>
      </c>
      <c r="E700" s="2">
        <v>449.09</v>
      </c>
      <c r="F700" s="2"/>
      <c r="G700" s="4"/>
    </row>
    <row r="701" spans="1:7">
      <c r="A701" s="2" t="s">
        <v>718</v>
      </c>
      <c r="B701" s="3">
        <v>45626</v>
      </c>
      <c r="C701" s="2" t="s">
        <v>11</v>
      </c>
      <c r="D701" s="2" t="s">
        <v>18</v>
      </c>
      <c r="E701" s="2"/>
      <c r="F701" s="2">
        <v>55.16</v>
      </c>
      <c r="G701" s="4"/>
    </row>
    <row r="702" spans="1:7">
      <c r="A702" s="2" t="s">
        <v>719</v>
      </c>
      <c r="B702" s="3">
        <v>45627</v>
      </c>
      <c r="C702" s="2" t="s">
        <v>27</v>
      </c>
      <c r="D702" s="2"/>
      <c r="E702" s="2" t="s">
        <v>14</v>
      </c>
      <c r="F702" s="2"/>
      <c r="G702" s="2">
        <v>43.47</v>
      </c>
    </row>
    <row r="703" spans="1:7">
      <c r="A703" s="2" t="s">
        <v>720</v>
      </c>
      <c r="B703" s="3">
        <v>45628</v>
      </c>
      <c r="C703" s="2" t="s">
        <v>22</v>
      </c>
      <c r="D703" s="2"/>
      <c r="E703" s="2">
        <v>595.29999999999995</v>
      </c>
      <c r="F703" s="2"/>
      <c r="G703" s="4"/>
    </row>
    <row r="704" spans="1:7">
      <c r="A704" s="2" t="s">
        <v>721</v>
      </c>
      <c r="B704" s="3">
        <v>45629</v>
      </c>
      <c r="C704" s="2" t="s">
        <v>16</v>
      </c>
      <c r="D704" s="2" t="s">
        <v>11</v>
      </c>
      <c r="E704" s="2" t="s">
        <v>14</v>
      </c>
      <c r="F704" s="2">
        <v>888.28</v>
      </c>
      <c r="G704" s="2">
        <v>204.51</v>
      </c>
    </row>
    <row r="705" spans="1:7">
      <c r="A705" s="2" t="s">
        <v>722</v>
      </c>
      <c r="B705" s="3">
        <v>45630</v>
      </c>
      <c r="C705" s="2" t="s">
        <v>27</v>
      </c>
      <c r="D705" s="2" t="s">
        <v>11</v>
      </c>
      <c r="E705" s="2" t="s">
        <v>24</v>
      </c>
      <c r="F705" s="2"/>
      <c r="G705" s="2"/>
    </row>
    <row r="706" spans="1:7">
      <c r="A706" s="2" t="s">
        <v>723</v>
      </c>
      <c r="B706" s="3">
        <v>45631</v>
      </c>
      <c r="C706" s="2" t="s">
        <v>21</v>
      </c>
      <c r="D706" s="2"/>
      <c r="E706" s="2" t="s">
        <v>9</v>
      </c>
      <c r="F706" s="2"/>
      <c r="G706" s="2"/>
    </row>
    <row r="707" spans="1:7">
      <c r="A707" s="2" t="s">
        <v>724</v>
      </c>
      <c r="B707" s="3">
        <v>45632</v>
      </c>
      <c r="C707" s="2"/>
      <c r="D707" s="2" t="s">
        <v>18</v>
      </c>
      <c r="E707" s="2"/>
      <c r="F707" s="2"/>
      <c r="G707" s="4"/>
    </row>
    <row r="708" spans="1:7">
      <c r="A708" s="2" t="s">
        <v>725</v>
      </c>
      <c r="B708" s="3">
        <v>45633</v>
      </c>
      <c r="C708" s="2" t="s">
        <v>27</v>
      </c>
      <c r="D708" s="2"/>
      <c r="E708" s="2" t="s">
        <v>14</v>
      </c>
      <c r="F708" s="2">
        <v>241.52</v>
      </c>
      <c r="G708" s="2">
        <v>145.19</v>
      </c>
    </row>
    <row r="709" spans="1:7">
      <c r="A709" s="2" t="s">
        <v>726</v>
      </c>
      <c r="B709" s="3">
        <v>45634</v>
      </c>
      <c r="C709" s="2" t="s">
        <v>16</v>
      </c>
      <c r="D709" s="2" t="s">
        <v>8</v>
      </c>
      <c r="E709" s="2" t="s">
        <v>14</v>
      </c>
      <c r="F709" s="2"/>
      <c r="G709" s="2"/>
    </row>
    <row r="710" spans="1:7">
      <c r="A710" s="2" t="s">
        <v>727</v>
      </c>
      <c r="B710" s="3">
        <v>45635</v>
      </c>
      <c r="C710" s="2" t="s">
        <v>16</v>
      </c>
      <c r="D710" s="2"/>
      <c r="E710" s="2" t="s">
        <v>32</v>
      </c>
      <c r="F710" s="2">
        <v>682.67</v>
      </c>
      <c r="G710" s="2"/>
    </row>
    <row r="711" spans="1:7">
      <c r="A711" s="2" t="s">
        <v>728</v>
      </c>
      <c r="B711" s="3">
        <v>45636</v>
      </c>
      <c r="C711" s="2" t="s">
        <v>16</v>
      </c>
      <c r="D711" s="2" t="s">
        <v>8</v>
      </c>
      <c r="E711" s="2"/>
      <c r="F711" s="2"/>
      <c r="G711" s="4"/>
    </row>
    <row r="712" spans="1:7">
      <c r="A712" s="2" t="s">
        <v>729</v>
      </c>
      <c r="B712" s="3">
        <v>45637</v>
      </c>
      <c r="C712" s="2" t="s">
        <v>13</v>
      </c>
      <c r="D712" s="2" t="s">
        <v>11</v>
      </c>
      <c r="E712" s="2" t="s">
        <v>14</v>
      </c>
      <c r="F712" s="2">
        <v>338.01</v>
      </c>
      <c r="G712" s="2">
        <v>-197.33</v>
      </c>
    </row>
    <row r="713" spans="1:7">
      <c r="A713" s="2" t="s">
        <v>730</v>
      </c>
      <c r="B713" s="3">
        <v>45638</v>
      </c>
      <c r="C713" s="2" t="s">
        <v>27</v>
      </c>
      <c r="D713" s="2"/>
      <c r="E713" s="2" t="s">
        <v>24</v>
      </c>
      <c r="F713" s="2"/>
      <c r="G713" s="2">
        <v>-175.38</v>
      </c>
    </row>
    <row r="714" spans="1:7">
      <c r="A714" s="2" t="s">
        <v>731</v>
      </c>
      <c r="B714" s="3">
        <v>45639</v>
      </c>
      <c r="C714" s="2" t="s">
        <v>13</v>
      </c>
      <c r="D714" s="2" t="s">
        <v>8</v>
      </c>
      <c r="E714" s="2">
        <v>851.07</v>
      </c>
      <c r="F714" s="2">
        <v>26.22</v>
      </c>
      <c r="G714" s="4"/>
    </row>
    <row r="715" spans="1:7">
      <c r="A715" s="2" t="s">
        <v>732</v>
      </c>
      <c r="B715" s="3">
        <v>45640</v>
      </c>
      <c r="C715" s="2" t="s">
        <v>8</v>
      </c>
      <c r="D715" s="2" t="s">
        <v>24</v>
      </c>
      <c r="E715" s="2">
        <v>600.51</v>
      </c>
      <c r="F715" s="2"/>
      <c r="G715" s="4"/>
    </row>
    <row r="716" spans="1:7">
      <c r="A716" s="2" t="s">
        <v>733</v>
      </c>
      <c r="B716" s="3">
        <v>45641</v>
      </c>
      <c r="C716" s="2" t="s">
        <v>16</v>
      </c>
      <c r="D716" s="2"/>
      <c r="E716" s="2"/>
      <c r="F716" s="2"/>
      <c r="G716" s="2">
        <v>141.16999999999999</v>
      </c>
    </row>
    <row r="717" spans="1:7">
      <c r="A717" s="2" t="s">
        <v>734</v>
      </c>
      <c r="B717" s="3">
        <v>45642</v>
      </c>
      <c r="C717" s="2" t="s">
        <v>27</v>
      </c>
      <c r="D717" s="2" t="s">
        <v>22</v>
      </c>
      <c r="E717" s="2"/>
      <c r="F717" s="2">
        <v>305.57</v>
      </c>
      <c r="G717" s="2">
        <v>275.8</v>
      </c>
    </row>
    <row r="718" spans="1:7">
      <c r="A718" s="2" t="s">
        <v>735</v>
      </c>
      <c r="B718" s="3">
        <v>45643</v>
      </c>
      <c r="C718" s="2" t="s">
        <v>8</v>
      </c>
      <c r="D718" s="2"/>
      <c r="E718" s="2">
        <v>172.91</v>
      </c>
      <c r="F718" s="4"/>
      <c r="G718" s="4"/>
    </row>
    <row r="719" spans="1:7">
      <c r="A719" s="2" t="s">
        <v>736</v>
      </c>
      <c r="B719" s="3">
        <v>45644</v>
      </c>
      <c r="C719" s="2" t="s">
        <v>16</v>
      </c>
      <c r="D719" s="2" t="s">
        <v>22</v>
      </c>
      <c r="E719" s="2"/>
      <c r="F719" s="2">
        <v>742.38</v>
      </c>
      <c r="G719" s="2">
        <v>-93.23</v>
      </c>
    </row>
    <row r="720" spans="1:7">
      <c r="A720" s="2" t="s">
        <v>737</v>
      </c>
      <c r="B720" s="3">
        <v>45645</v>
      </c>
      <c r="C720" s="2" t="s">
        <v>13</v>
      </c>
      <c r="D720" s="2" t="s">
        <v>22</v>
      </c>
      <c r="E720" s="2"/>
      <c r="F720" s="2"/>
      <c r="G720" s="2">
        <v>-45.09</v>
      </c>
    </row>
    <row r="721" spans="1:7">
      <c r="A721" s="2" t="s">
        <v>738</v>
      </c>
      <c r="B721" s="3">
        <v>45646</v>
      </c>
      <c r="C721" s="2" t="s">
        <v>21</v>
      </c>
      <c r="D721" s="2"/>
      <c r="E721" s="2" t="s">
        <v>24</v>
      </c>
      <c r="F721" s="2"/>
      <c r="G721" s="2"/>
    </row>
    <row r="722" spans="1:7">
      <c r="A722" s="2" t="s">
        <v>739</v>
      </c>
      <c r="B722" s="3">
        <v>45647</v>
      </c>
      <c r="C722" s="2" t="s">
        <v>13</v>
      </c>
      <c r="D722" s="2" t="s">
        <v>8</v>
      </c>
      <c r="E722" s="2" t="s">
        <v>24</v>
      </c>
      <c r="F722" s="2">
        <v>572.08000000000004</v>
      </c>
      <c r="G722" s="2">
        <v>196.38</v>
      </c>
    </row>
    <row r="723" spans="1:7">
      <c r="A723" s="2" t="s">
        <v>740</v>
      </c>
      <c r="B723" s="3">
        <v>45648</v>
      </c>
      <c r="C723" s="2"/>
      <c r="D723" s="2" t="s">
        <v>14</v>
      </c>
      <c r="E723" s="2">
        <v>73.760000000000005</v>
      </c>
      <c r="F723" s="2">
        <v>-96.32</v>
      </c>
      <c r="G723" s="4"/>
    </row>
    <row r="724" spans="1:7">
      <c r="A724" s="2" t="s">
        <v>741</v>
      </c>
      <c r="B724" s="3">
        <v>45649</v>
      </c>
      <c r="C724" s="2" t="s">
        <v>27</v>
      </c>
      <c r="D724" s="2"/>
      <c r="E724" s="2" t="s">
        <v>24</v>
      </c>
      <c r="F724" s="2">
        <v>858.64</v>
      </c>
      <c r="G724" s="2">
        <v>46.76</v>
      </c>
    </row>
    <row r="725" spans="1:7">
      <c r="A725" s="2" t="s">
        <v>742</v>
      </c>
      <c r="B725" s="3">
        <v>45650</v>
      </c>
      <c r="C725" s="2" t="s">
        <v>22</v>
      </c>
      <c r="D725" s="2" t="s">
        <v>9</v>
      </c>
      <c r="E725" s="2"/>
      <c r="F725" s="2"/>
      <c r="G725" s="4"/>
    </row>
    <row r="726" spans="1:7">
      <c r="A726" s="2" t="s">
        <v>743</v>
      </c>
      <c r="B726" s="3">
        <v>45651</v>
      </c>
      <c r="C726" s="2" t="s">
        <v>27</v>
      </c>
      <c r="D726" s="2" t="s">
        <v>22</v>
      </c>
      <c r="E726" s="2" t="s">
        <v>14</v>
      </c>
      <c r="F726" s="2">
        <v>953.4</v>
      </c>
      <c r="G726" s="2"/>
    </row>
    <row r="727" spans="1:7">
      <c r="A727" s="2" t="s">
        <v>744</v>
      </c>
      <c r="B727" s="3">
        <v>45652</v>
      </c>
      <c r="C727" s="2"/>
      <c r="D727" s="2" t="s">
        <v>18</v>
      </c>
      <c r="E727" s="2">
        <v>750.16</v>
      </c>
      <c r="F727" s="2"/>
      <c r="G727" s="4"/>
    </row>
    <row r="728" spans="1:7">
      <c r="A728" s="2" t="s">
        <v>745</v>
      </c>
      <c r="B728" s="3">
        <v>45653</v>
      </c>
      <c r="C728" s="2" t="s">
        <v>21</v>
      </c>
      <c r="D728" s="2"/>
      <c r="E728" s="2" t="s">
        <v>14</v>
      </c>
      <c r="F728" s="2">
        <v>588.23</v>
      </c>
      <c r="G728" s="2">
        <v>-2.48</v>
      </c>
    </row>
    <row r="729" spans="1:7">
      <c r="A729" s="2" t="s">
        <v>746</v>
      </c>
      <c r="B729" s="3">
        <v>45654</v>
      </c>
      <c r="C729" s="2" t="s">
        <v>11</v>
      </c>
      <c r="D729" s="2" t="s">
        <v>32</v>
      </c>
      <c r="E729" s="2"/>
      <c r="F729" s="2">
        <v>100.12</v>
      </c>
      <c r="G729" s="4"/>
    </row>
    <row r="730" spans="1:7">
      <c r="A730" s="2" t="s">
        <v>747</v>
      </c>
      <c r="B730" s="3">
        <v>45655</v>
      </c>
      <c r="C730" s="2" t="s">
        <v>13</v>
      </c>
      <c r="D730" s="2"/>
      <c r="E730" s="2" t="s">
        <v>9</v>
      </c>
      <c r="F730" s="2"/>
      <c r="G730" s="2"/>
    </row>
    <row r="731" spans="1:7">
      <c r="A731" s="2" t="s">
        <v>748</v>
      </c>
      <c r="B731" s="3">
        <v>45656</v>
      </c>
      <c r="C731" s="2" t="s">
        <v>13</v>
      </c>
      <c r="D731" s="2" t="s">
        <v>8</v>
      </c>
      <c r="E731" s="2" t="s">
        <v>18</v>
      </c>
      <c r="F731" s="2"/>
      <c r="G731" s="2">
        <v>114.76</v>
      </c>
    </row>
    <row r="732" spans="1:7">
      <c r="A732" s="2" t="s">
        <v>749</v>
      </c>
      <c r="B732" s="3">
        <v>45657</v>
      </c>
      <c r="C732" s="2" t="s">
        <v>16</v>
      </c>
      <c r="D732" s="2" t="s">
        <v>11</v>
      </c>
      <c r="E732" s="2" t="s">
        <v>32</v>
      </c>
      <c r="F732" s="2"/>
      <c r="G732" s="2"/>
    </row>
    <row r="733" spans="1:7">
      <c r="A733" s="2" t="s">
        <v>750</v>
      </c>
      <c r="B733" s="3">
        <v>45658</v>
      </c>
      <c r="C733" s="2"/>
      <c r="D733" s="2"/>
      <c r="E733" s="2"/>
      <c r="F733" s="2"/>
      <c r="G733" s="4"/>
    </row>
    <row r="734" spans="1:7">
      <c r="A734" s="2" t="s">
        <v>751</v>
      </c>
      <c r="B734" s="3">
        <v>45659</v>
      </c>
      <c r="C734" s="2" t="s">
        <v>27</v>
      </c>
      <c r="D734" s="2" t="s">
        <v>11</v>
      </c>
      <c r="E734" s="2" t="s">
        <v>32</v>
      </c>
      <c r="F734" s="2">
        <v>948.5</v>
      </c>
      <c r="G734" s="2"/>
    </row>
    <row r="735" spans="1:7">
      <c r="A735" s="2" t="s">
        <v>752</v>
      </c>
      <c r="B735" s="3">
        <v>45660</v>
      </c>
      <c r="C735" s="2" t="s">
        <v>27</v>
      </c>
      <c r="D735" s="2" t="s">
        <v>11</v>
      </c>
      <c r="E735" s="2"/>
      <c r="F735" s="2"/>
      <c r="G735" s="2"/>
    </row>
    <row r="736" spans="1:7">
      <c r="A736" s="2" t="s">
        <v>753</v>
      </c>
      <c r="B736" s="3">
        <v>45661</v>
      </c>
      <c r="C736" s="2" t="s">
        <v>27</v>
      </c>
      <c r="D736" s="2" t="s">
        <v>11</v>
      </c>
      <c r="E736" s="2"/>
      <c r="F736" s="2">
        <v>166.72</v>
      </c>
      <c r="G736" s="2"/>
    </row>
    <row r="737" spans="1:7">
      <c r="A737" s="2" t="s">
        <v>754</v>
      </c>
      <c r="B737" s="3">
        <v>45662</v>
      </c>
      <c r="C737" s="2" t="s">
        <v>11</v>
      </c>
      <c r="D737" s="2" t="s">
        <v>24</v>
      </c>
      <c r="E737" s="2"/>
      <c r="F737" s="2"/>
      <c r="G737" s="4"/>
    </row>
    <row r="738" spans="1:7">
      <c r="A738" s="2" t="s">
        <v>755</v>
      </c>
      <c r="B738" s="3">
        <v>45663</v>
      </c>
      <c r="C738" s="2" t="s">
        <v>16</v>
      </c>
      <c r="D738" s="2" t="s">
        <v>22</v>
      </c>
      <c r="E738" s="2" t="s">
        <v>14</v>
      </c>
      <c r="F738" s="2"/>
      <c r="G738" s="2">
        <v>-198.08</v>
      </c>
    </row>
    <row r="739" spans="1:7">
      <c r="A739" s="2" t="s">
        <v>756</v>
      </c>
      <c r="B739" s="3">
        <v>45664</v>
      </c>
      <c r="C739" s="2" t="s">
        <v>27</v>
      </c>
      <c r="D739" s="2"/>
      <c r="E739" s="2" t="s">
        <v>14</v>
      </c>
      <c r="F739" s="2"/>
      <c r="G739" s="2"/>
    </row>
    <row r="740" spans="1:7">
      <c r="A740" s="2" t="s">
        <v>757</v>
      </c>
      <c r="B740" s="3">
        <v>45665</v>
      </c>
      <c r="C740" s="2" t="s">
        <v>27</v>
      </c>
      <c r="D740" s="2"/>
      <c r="E740" s="2" t="s">
        <v>32</v>
      </c>
      <c r="F740" s="2"/>
      <c r="G740" s="2"/>
    </row>
    <row r="741" spans="1:7">
      <c r="A741" s="2" t="s">
        <v>758</v>
      </c>
      <c r="B741" s="3">
        <v>45666</v>
      </c>
      <c r="C741" s="2" t="s">
        <v>13</v>
      </c>
      <c r="D741" s="2" t="s">
        <v>22</v>
      </c>
      <c r="E741" s="2"/>
      <c r="F741" s="2"/>
      <c r="G741" s="2"/>
    </row>
    <row r="742" spans="1:7">
      <c r="A742" s="2" t="s">
        <v>759</v>
      </c>
      <c r="B742" s="3">
        <v>45667</v>
      </c>
      <c r="C742" s="2" t="s">
        <v>16</v>
      </c>
      <c r="D742" s="2" t="s">
        <v>11</v>
      </c>
      <c r="E742" s="2" t="s">
        <v>9</v>
      </c>
      <c r="F742" s="2">
        <v>88.98</v>
      </c>
      <c r="G742" s="2">
        <v>-38.49</v>
      </c>
    </row>
    <row r="743" spans="1:7">
      <c r="A743" s="2" t="s">
        <v>760</v>
      </c>
      <c r="B743" s="3">
        <v>45668</v>
      </c>
      <c r="C743" s="2" t="s">
        <v>16</v>
      </c>
      <c r="D743" s="2" t="s">
        <v>22</v>
      </c>
      <c r="E743" s="2" t="s">
        <v>18</v>
      </c>
      <c r="F743" s="2">
        <v>169.34</v>
      </c>
      <c r="G743" s="2">
        <v>-82.4</v>
      </c>
    </row>
    <row r="744" spans="1:7">
      <c r="A744" s="2" t="s">
        <v>761</v>
      </c>
      <c r="B744" s="3">
        <v>45669</v>
      </c>
      <c r="C744" s="2" t="s">
        <v>27</v>
      </c>
      <c r="D744" s="2" t="s">
        <v>8</v>
      </c>
      <c r="E744" s="2" t="s">
        <v>18</v>
      </c>
      <c r="F744" s="2"/>
      <c r="G744" s="2"/>
    </row>
    <row r="745" spans="1:7">
      <c r="A745" s="2" t="s">
        <v>762</v>
      </c>
      <c r="B745" s="3">
        <v>45670</v>
      </c>
      <c r="C745" s="2" t="s">
        <v>16</v>
      </c>
      <c r="D745" s="2" t="s">
        <v>8</v>
      </c>
      <c r="E745" s="2">
        <v>568.85</v>
      </c>
      <c r="F745" s="2"/>
      <c r="G745" s="4"/>
    </row>
    <row r="746" spans="1:7">
      <c r="A746" s="2" t="s">
        <v>763</v>
      </c>
      <c r="B746" s="3">
        <v>45671</v>
      </c>
      <c r="C746" s="2" t="s">
        <v>27</v>
      </c>
      <c r="D746" s="2" t="s">
        <v>8</v>
      </c>
      <c r="E746" s="2" t="s">
        <v>9</v>
      </c>
      <c r="F746" s="2"/>
      <c r="G746" s="2"/>
    </row>
    <row r="747" spans="1:7">
      <c r="A747" s="2" t="s">
        <v>764</v>
      </c>
      <c r="B747" s="3">
        <v>45672</v>
      </c>
      <c r="C747" s="2"/>
      <c r="D747" s="2" t="s">
        <v>9</v>
      </c>
      <c r="E747" s="2"/>
      <c r="F747" s="2">
        <v>71.540000000000006</v>
      </c>
      <c r="G747" s="4"/>
    </row>
    <row r="748" spans="1:7">
      <c r="A748" s="2" t="s">
        <v>765</v>
      </c>
      <c r="B748" s="3">
        <v>45673</v>
      </c>
      <c r="C748" s="2" t="s">
        <v>13</v>
      </c>
      <c r="D748" s="2"/>
      <c r="E748" s="2" t="s">
        <v>9</v>
      </c>
      <c r="F748" s="2">
        <v>544.38</v>
      </c>
      <c r="G748" s="2"/>
    </row>
    <row r="749" spans="1:7">
      <c r="A749" s="2" t="s">
        <v>766</v>
      </c>
      <c r="B749" s="3">
        <v>45674</v>
      </c>
      <c r="C749" s="2" t="s">
        <v>16</v>
      </c>
      <c r="D749" s="2" t="s">
        <v>22</v>
      </c>
      <c r="E749" s="2" t="s">
        <v>14</v>
      </c>
      <c r="F749" s="2"/>
      <c r="G749" s="2"/>
    </row>
    <row r="750" spans="1:7">
      <c r="A750" s="2" t="s">
        <v>767</v>
      </c>
      <c r="B750" s="3">
        <v>45675</v>
      </c>
      <c r="C750" s="2" t="s">
        <v>27</v>
      </c>
      <c r="D750" s="2"/>
      <c r="E750" s="2" t="s">
        <v>9</v>
      </c>
      <c r="F750" s="2"/>
      <c r="G750" s="2">
        <v>79.94</v>
      </c>
    </row>
    <row r="751" spans="1:7">
      <c r="A751" s="2" t="s">
        <v>768</v>
      </c>
      <c r="B751" s="3">
        <v>45676</v>
      </c>
      <c r="C751" s="2" t="s">
        <v>21</v>
      </c>
      <c r="D751" s="2"/>
      <c r="E751" s="2" t="s">
        <v>18</v>
      </c>
      <c r="F751" s="2"/>
      <c r="G751" s="2"/>
    </row>
    <row r="752" spans="1:7">
      <c r="A752" s="2" t="s">
        <v>769</v>
      </c>
      <c r="B752" s="3">
        <v>45677</v>
      </c>
      <c r="C752" s="2" t="s">
        <v>22</v>
      </c>
      <c r="D752" s="2" t="s">
        <v>24</v>
      </c>
      <c r="E752" s="2">
        <v>254.13</v>
      </c>
      <c r="F752" s="2">
        <v>288.36</v>
      </c>
      <c r="G752" s="4"/>
    </row>
    <row r="753" spans="1:7">
      <c r="A753" s="2" t="s">
        <v>770</v>
      </c>
      <c r="B753" s="3">
        <v>45678</v>
      </c>
      <c r="C753" s="2" t="s">
        <v>13</v>
      </c>
      <c r="D753" s="2" t="s">
        <v>11</v>
      </c>
      <c r="E753" s="2" t="s">
        <v>18</v>
      </c>
      <c r="F753" s="2"/>
      <c r="G753" s="2"/>
    </row>
    <row r="754" spans="1:7">
      <c r="A754" s="2" t="s">
        <v>771</v>
      </c>
      <c r="B754" s="3">
        <v>45679</v>
      </c>
      <c r="C754" s="2" t="s">
        <v>8</v>
      </c>
      <c r="D754" s="2" t="s">
        <v>32</v>
      </c>
      <c r="E754" s="2">
        <v>633.29</v>
      </c>
      <c r="F754" s="2">
        <v>223.47</v>
      </c>
      <c r="G754" s="4"/>
    </row>
    <row r="755" spans="1:7">
      <c r="A755" s="2" t="s">
        <v>772</v>
      </c>
      <c r="B755" s="3">
        <v>45680</v>
      </c>
      <c r="C755" s="2" t="s">
        <v>13</v>
      </c>
      <c r="D755" s="2" t="s">
        <v>11</v>
      </c>
      <c r="E755" s="2" t="s">
        <v>32</v>
      </c>
      <c r="F755" s="2">
        <v>754.83</v>
      </c>
      <c r="G755" s="2">
        <v>-187.86</v>
      </c>
    </row>
    <row r="756" spans="1:7">
      <c r="A756" s="2" t="s">
        <v>773</v>
      </c>
      <c r="B756" s="3">
        <v>45681</v>
      </c>
      <c r="C756" s="2" t="s">
        <v>22</v>
      </c>
      <c r="D756" s="2" t="s">
        <v>14</v>
      </c>
      <c r="E756" s="2">
        <v>241.78</v>
      </c>
      <c r="F756" s="2"/>
      <c r="G756" s="4"/>
    </row>
    <row r="757" spans="1:7">
      <c r="A757" s="2" t="s">
        <v>774</v>
      </c>
      <c r="B757" s="3">
        <v>45682</v>
      </c>
      <c r="C757" s="2"/>
      <c r="D757" s="2" t="s">
        <v>14</v>
      </c>
      <c r="E757" s="2">
        <v>365.22</v>
      </c>
      <c r="F757" s="2"/>
      <c r="G757" s="4"/>
    </row>
    <row r="758" spans="1:7">
      <c r="A758" s="2" t="s">
        <v>775</v>
      </c>
      <c r="B758" s="3">
        <v>45683</v>
      </c>
      <c r="C758" s="2" t="s">
        <v>8</v>
      </c>
      <c r="D758" s="2" t="s">
        <v>9</v>
      </c>
      <c r="E758" s="2"/>
      <c r="F758" s="2">
        <v>105.46</v>
      </c>
      <c r="G758" s="4"/>
    </row>
    <row r="759" spans="1:7">
      <c r="A759" s="2" t="s">
        <v>776</v>
      </c>
      <c r="B759" s="3">
        <v>45684</v>
      </c>
      <c r="C759" s="2" t="s">
        <v>16</v>
      </c>
      <c r="D759" s="2" t="s">
        <v>22</v>
      </c>
      <c r="E759" s="2" t="s">
        <v>24</v>
      </c>
      <c r="F759" s="2"/>
      <c r="G759" s="2"/>
    </row>
    <row r="760" spans="1:7">
      <c r="A760" s="2" t="s">
        <v>777</v>
      </c>
      <c r="B760" s="3">
        <v>45685</v>
      </c>
      <c r="C760" s="2" t="s">
        <v>8</v>
      </c>
      <c r="D760" s="2" t="s">
        <v>9</v>
      </c>
      <c r="E760" s="2">
        <v>191.24</v>
      </c>
      <c r="F760" s="2"/>
      <c r="G760" s="4"/>
    </row>
    <row r="761" spans="1:7">
      <c r="A761" s="2" t="s">
        <v>778</v>
      </c>
      <c r="B761" s="3">
        <v>45686</v>
      </c>
      <c r="C761" s="2" t="s">
        <v>22</v>
      </c>
      <c r="D761" s="2" t="s">
        <v>32</v>
      </c>
      <c r="E761" s="2"/>
      <c r="F761" s="2"/>
      <c r="G761" s="4"/>
    </row>
    <row r="762" spans="1:7">
      <c r="A762" s="2" t="s">
        <v>779</v>
      </c>
      <c r="B762" s="3">
        <v>45687</v>
      </c>
      <c r="C762" s="2" t="s">
        <v>21</v>
      </c>
      <c r="D762" s="2" t="s">
        <v>22</v>
      </c>
      <c r="E762" s="2" t="s">
        <v>18</v>
      </c>
      <c r="F762" s="2"/>
      <c r="G762" s="2">
        <v>258.18</v>
      </c>
    </row>
    <row r="763" spans="1:7">
      <c r="A763" s="2" t="s">
        <v>780</v>
      </c>
      <c r="B763" s="3">
        <v>45688</v>
      </c>
      <c r="C763" s="2" t="s">
        <v>21</v>
      </c>
      <c r="D763" s="2" t="s">
        <v>22</v>
      </c>
      <c r="E763" s="2" t="s">
        <v>24</v>
      </c>
      <c r="F763" s="2">
        <v>696.3</v>
      </c>
      <c r="G763" s="2">
        <v>155.5</v>
      </c>
    </row>
    <row r="764" spans="1:7">
      <c r="A764" s="2" t="s">
        <v>781</v>
      </c>
      <c r="B764" s="3">
        <v>45689</v>
      </c>
      <c r="C764" s="2"/>
      <c r="D764" s="2" t="s">
        <v>14</v>
      </c>
      <c r="E764" s="2">
        <v>421.47</v>
      </c>
      <c r="F764" s="2"/>
      <c r="G764" s="4"/>
    </row>
    <row r="765" spans="1:7">
      <c r="A765" s="2" t="s">
        <v>782</v>
      </c>
      <c r="B765" s="3">
        <v>45690</v>
      </c>
      <c r="C765" s="2" t="s">
        <v>16</v>
      </c>
      <c r="D765" s="2"/>
      <c r="E765" s="2" t="s">
        <v>18</v>
      </c>
      <c r="F765" s="2"/>
      <c r="G765" s="2">
        <v>175.66</v>
      </c>
    </row>
    <row r="766" spans="1:7">
      <c r="A766" s="2" t="s">
        <v>783</v>
      </c>
      <c r="B766" s="3">
        <v>45691</v>
      </c>
      <c r="C766" s="2" t="s">
        <v>22</v>
      </c>
      <c r="D766" s="2"/>
      <c r="E766" s="2">
        <v>927.56</v>
      </c>
      <c r="F766" s="2"/>
      <c r="G766" s="4"/>
    </row>
    <row r="767" spans="1:7">
      <c r="A767" s="2" t="s">
        <v>784</v>
      </c>
      <c r="B767" s="3">
        <v>45692</v>
      </c>
      <c r="C767" s="2"/>
      <c r="D767" s="2" t="s">
        <v>18</v>
      </c>
      <c r="E767" s="2"/>
      <c r="F767" s="2">
        <v>50.68</v>
      </c>
      <c r="G767" s="4"/>
    </row>
    <row r="768" spans="1:7">
      <c r="A768" s="2" t="s">
        <v>785</v>
      </c>
      <c r="B768" s="3">
        <v>45693</v>
      </c>
      <c r="C768" s="2" t="s">
        <v>13</v>
      </c>
      <c r="D768" s="2" t="s">
        <v>22</v>
      </c>
      <c r="E768" s="2" t="s">
        <v>32</v>
      </c>
      <c r="F768" s="2">
        <v>369.34</v>
      </c>
      <c r="G768" s="2"/>
    </row>
    <row r="769" spans="1:7">
      <c r="A769" s="2" t="s">
        <v>786</v>
      </c>
      <c r="B769" s="3">
        <v>45694</v>
      </c>
      <c r="C769" s="2" t="s">
        <v>13</v>
      </c>
      <c r="D769" s="2" t="s">
        <v>22</v>
      </c>
      <c r="E769" s="2" t="s">
        <v>9</v>
      </c>
      <c r="F769" s="2"/>
      <c r="G769" s="2"/>
    </row>
    <row r="770" spans="1:7">
      <c r="A770" s="2" t="s">
        <v>787</v>
      </c>
      <c r="B770" s="3">
        <v>45695</v>
      </c>
      <c r="C770" s="2" t="s">
        <v>16</v>
      </c>
      <c r="D770" s="2" t="s">
        <v>22</v>
      </c>
      <c r="E770" s="2" t="s">
        <v>18</v>
      </c>
      <c r="F770" s="2"/>
      <c r="G770" s="2"/>
    </row>
    <row r="771" spans="1:7">
      <c r="A771" s="2" t="s">
        <v>788</v>
      </c>
      <c r="B771" s="3">
        <v>45696</v>
      </c>
      <c r="C771" s="2" t="s">
        <v>27</v>
      </c>
      <c r="D771" s="2" t="s">
        <v>22</v>
      </c>
      <c r="E771" s="2"/>
      <c r="F771" s="2">
        <v>159.53</v>
      </c>
      <c r="G771" s="2"/>
    </row>
    <row r="772" spans="1:7">
      <c r="A772" s="2" t="s">
        <v>789</v>
      </c>
      <c r="B772" s="3">
        <v>45697</v>
      </c>
      <c r="C772" s="2" t="s">
        <v>27</v>
      </c>
      <c r="D772" s="2" t="s">
        <v>8</v>
      </c>
      <c r="E772" s="2" t="s">
        <v>32</v>
      </c>
      <c r="F772" s="2">
        <v>421.9</v>
      </c>
      <c r="G772" s="2">
        <v>74.88</v>
      </c>
    </row>
    <row r="773" spans="1:7">
      <c r="A773" s="2" t="s">
        <v>790</v>
      </c>
      <c r="B773" s="3">
        <v>45698</v>
      </c>
      <c r="C773" s="2" t="s">
        <v>21</v>
      </c>
      <c r="D773" s="2" t="s">
        <v>8</v>
      </c>
      <c r="E773" s="2" t="s">
        <v>32</v>
      </c>
      <c r="F773" s="2"/>
      <c r="G773" s="2">
        <v>-124.59</v>
      </c>
    </row>
    <row r="774" spans="1:7">
      <c r="A774" s="2" t="s">
        <v>791</v>
      </c>
      <c r="B774" s="3">
        <v>45699</v>
      </c>
      <c r="C774" s="2" t="s">
        <v>16</v>
      </c>
      <c r="D774" s="2" t="s">
        <v>22</v>
      </c>
      <c r="E774" s="2" t="s">
        <v>32</v>
      </c>
      <c r="F774" s="2"/>
      <c r="G774" s="2"/>
    </row>
    <row r="775" spans="1:7">
      <c r="A775" s="2" t="s">
        <v>792</v>
      </c>
      <c r="B775" s="3">
        <v>45700</v>
      </c>
      <c r="C775" s="2" t="s">
        <v>27</v>
      </c>
      <c r="D775" s="2" t="s">
        <v>11</v>
      </c>
      <c r="E775" s="2"/>
      <c r="F775" s="2">
        <v>307.33999999999997</v>
      </c>
      <c r="G775" s="2">
        <v>106.17</v>
      </c>
    </row>
    <row r="776" spans="1:7">
      <c r="A776" s="2" t="s">
        <v>793</v>
      </c>
      <c r="B776" s="3">
        <v>45701</v>
      </c>
      <c r="C776" s="2" t="s">
        <v>13</v>
      </c>
      <c r="D776" s="2" t="s">
        <v>22</v>
      </c>
      <c r="E776" s="2" t="s">
        <v>32</v>
      </c>
      <c r="F776" s="2">
        <v>191.01</v>
      </c>
      <c r="G776" s="2">
        <v>89.75</v>
      </c>
    </row>
    <row r="777" spans="1:7">
      <c r="A777" s="2" t="s">
        <v>794</v>
      </c>
      <c r="B777" s="3">
        <v>45702</v>
      </c>
      <c r="C777" s="2" t="s">
        <v>13</v>
      </c>
      <c r="D777" s="2" t="s">
        <v>8</v>
      </c>
      <c r="E777" s="2"/>
      <c r="F777" s="2"/>
      <c r="G777" s="4"/>
    </row>
    <row r="778" spans="1:7">
      <c r="A778" s="2" t="s">
        <v>795</v>
      </c>
      <c r="B778" s="3">
        <v>45703</v>
      </c>
      <c r="C778" s="2" t="s">
        <v>13</v>
      </c>
      <c r="D778" s="2" t="s">
        <v>8</v>
      </c>
      <c r="E778" s="2" t="s">
        <v>14</v>
      </c>
      <c r="F778" s="2"/>
      <c r="G778" s="2">
        <v>-15.92</v>
      </c>
    </row>
    <row r="779" spans="1:7">
      <c r="A779" s="2" t="s">
        <v>796</v>
      </c>
      <c r="B779" s="3">
        <v>45704</v>
      </c>
      <c r="C779" s="2" t="s">
        <v>13</v>
      </c>
      <c r="D779" s="2" t="s">
        <v>11</v>
      </c>
      <c r="E779" s="2" t="s">
        <v>18</v>
      </c>
      <c r="F779" s="2">
        <v>926.26</v>
      </c>
      <c r="G779" s="2">
        <v>-92.48</v>
      </c>
    </row>
    <row r="780" spans="1:7">
      <c r="A780" s="2" t="s">
        <v>797</v>
      </c>
      <c r="B780" s="3">
        <v>45705</v>
      </c>
      <c r="C780" s="2" t="s">
        <v>13</v>
      </c>
      <c r="D780" s="2" t="s">
        <v>22</v>
      </c>
      <c r="E780" s="2" t="s">
        <v>18</v>
      </c>
      <c r="F780" s="2"/>
      <c r="G780" s="2"/>
    </row>
    <row r="781" spans="1:7">
      <c r="A781" s="2" t="s">
        <v>798</v>
      </c>
      <c r="B781" s="3">
        <v>45706</v>
      </c>
      <c r="C781" s="2" t="s">
        <v>21</v>
      </c>
      <c r="D781" s="2" t="s">
        <v>22</v>
      </c>
      <c r="E781" s="2" t="s">
        <v>18</v>
      </c>
      <c r="F781" s="2">
        <v>153.15</v>
      </c>
      <c r="G781" s="2"/>
    </row>
    <row r="782" spans="1:7">
      <c r="A782" s="2" t="s">
        <v>799</v>
      </c>
      <c r="B782" s="3">
        <v>45707</v>
      </c>
      <c r="C782" s="2" t="s">
        <v>13</v>
      </c>
      <c r="D782" s="2" t="s">
        <v>11</v>
      </c>
      <c r="E782" s="2" t="s">
        <v>18</v>
      </c>
      <c r="F782" s="2"/>
      <c r="G782" s="2">
        <v>42.81</v>
      </c>
    </row>
    <row r="783" spans="1:7">
      <c r="A783" s="2" t="s">
        <v>800</v>
      </c>
      <c r="B783" s="3">
        <v>45708</v>
      </c>
      <c r="C783" s="2" t="s">
        <v>13</v>
      </c>
      <c r="D783" s="2" t="s">
        <v>8</v>
      </c>
      <c r="E783" s="2" t="s">
        <v>32</v>
      </c>
      <c r="F783" s="2">
        <v>265.41000000000003</v>
      </c>
      <c r="G783" s="2">
        <v>200.39</v>
      </c>
    </row>
    <row r="784" spans="1:7">
      <c r="A784" s="2" t="s">
        <v>801</v>
      </c>
      <c r="B784" s="3">
        <v>45709</v>
      </c>
      <c r="C784" s="2" t="s">
        <v>11</v>
      </c>
      <c r="D784" s="2" t="s">
        <v>9</v>
      </c>
      <c r="E784" s="2"/>
      <c r="F784" s="2"/>
      <c r="G784" s="4"/>
    </row>
    <row r="785" spans="1:7">
      <c r="A785" s="2" t="s">
        <v>802</v>
      </c>
      <c r="B785" s="3">
        <v>45710</v>
      </c>
      <c r="C785" s="2" t="s">
        <v>16</v>
      </c>
      <c r="D785" s="2" t="s">
        <v>8</v>
      </c>
      <c r="E785" s="2" t="s">
        <v>14</v>
      </c>
      <c r="F785" s="2"/>
      <c r="G785" s="2">
        <v>173.73</v>
      </c>
    </row>
    <row r="786" spans="1:7">
      <c r="A786" s="2" t="s">
        <v>803</v>
      </c>
      <c r="B786" s="3">
        <v>45711</v>
      </c>
      <c r="C786" s="2" t="s">
        <v>11</v>
      </c>
      <c r="D786" s="2" t="s">
        <v>32</v>
      </c>
      <c r="E786" s="2"/>
      <c r="F786" s="2"/>
      <c r="G786" s="4"/>
    </row>
    <row r="787" spans="1:7">
      <c r="A787" s="2" t="s">
        <v>804</v>
      </c>
      <c r="B787" s="3">
        <v>45712</v>
      </c>
      <c r="C787" s="2" t="s">
        <v>16</v>
      </c>
      <c r="D787" s="2" t="s">
        <v>11</v>
      </c>
      <c r="E787" s="2" t="s">
        <v>9</v>
      </c>
      <c r="F787" s="2">
        <v>772.68</v>
      </c>
      <c r="G787" s="2">
        <v>70.97</v>
      </c>
    </row>
    <row r="788" spans="1:7">
      <c r="A788" s="2" t="s">
        <v>805</v>
      </c>
      <c r="B788" s="3">
        <v>45713</v>
      </c>
      <c r="C788" s="2" t="s">
        <v>13</v>
      </c>
      <c r="D788" s="2"/>
      <c r="E788" s="2" t="s">
        <v>24</v>
      </c>
      <c r="F788" s="2">
        <v>525.89</v>
      </c>
      <c r="G788" s="2"/>
    </row>
    <row r="789" spans="1:7">
      <c r="A789" s="2" t="s">
        <v>806</v>
      </c>
      <c r="B789" s="3">
        <v>45714</v>
      </c>
      <c r="C789" s="2" t="s">
        <v>11</v>
      </c>
      <c r="D789" s="2"/>
      <c r="E789" s="2"/>
      <c r="F789" s="2">
        <v>137.18</v>
      </c>
      <c r="G789" s="4"/>
    </row>
    <row r="790" spans="1:7">
      <c r="A790" s="2" t="s">
        <v>807</v>
      </c>
      <c r="B790" s="3">
        <v>45715</v>
      </c>
      <c r="C790" s="2" t="s">
        <v>16</v>
      </c>
      <c r="D790" s="2" t="s">
        <v>22</v>
      </c>
      <c r="E790" s="2" t="s">
        <v>14</v>
      </c>
      <c r="F790" s="2"/>
      <c r="G790" s="2"/>
    </row>
    <row r="791" spans="1:7">
      <c r="A791" s="2" t="s">
        <v>808</v>
      </c>
      <c r="B791" s="3">
        <v>45716</v>
      </c>
      <c r="C791" s="2" t="s">
        <v>8</v>
      </c>
      <c r="D791" s="2">
        <v>50.38</v>
      </c>
      <c r="E791" s="2"/>
      <c r="F791" s="4"/>
      <c r="G791" s="4"/>
    </row>
    <row r="792" spans="1:7">
      <c r="A792" s="2" t="s">
        <v>809</v>
      </c>
      <c r="B792" s="3">
        <v>45717</v>
      </c>
      <c r="C792" s="2" t="s">
        <v>16</v>
      </c>
      <c r="D792" s="2" t="s">
        <v>11</v>
      </c>
      <c r="E792" s="2" t="s">
        <v>32</v>
      </c>
      <c r="F792" s="2">
        <v>172.04</v>
      </c>
      <c r="G792" s="2">
        <v>148.97</v>
      </c>
    </row>
    <row r="793" spans="1:7">
      <c r="A793" s="2" t="s">
        <v>810</v>
      </c>
      <c r="B793" s="3">
        <v>45718</v>
      </c>
      <c r="C793" s="2" t="s">
        <v>22</v>
      </c>
      <c r="D793" s="2" t="s">
        <v>32</v>
      </c>
      <c r="E793" s="2">
        <v>374.35</v>
      </c>
      <c r="F793" s="2">
        <v>291.55</v>
      </c>
      <c r="G793" s="4"/>
    </row>
    <row r="794" spans="1:7">
      <c r="A794" s="2" t="s">
        <v>811</v>
      </c>
      <c r="B794" s="3">
        <v>45719</v>
      </c>
      <c r="C794" s="2" t="s">
        <v>8</v>
      </c>
      <c r="D794" s="2" t="s">
        <v>9</v>
      </c>
      <c r="E794" s="2">
        <v>494.53</v>
      </c>
      <c r="F794" s="2">
        <v>252.79</v>
      </c>
      <c r="G794" s="4"/>
    </row>
    <row r="795" spans="1:7">
      <c r="A795" s="2" t="s">
        <v>812</v>
      </c>
      <c r="B795" s="3">
        <v>45720</v>
      </c>
      <c r="C795" s="2" t="s">
        <v>21</v>
      </c>
      <c r="D795" s="2" t="s">
        <v>22</v>
      </c>
      <c r="E795" s="2" t="s">
        <v>18</v>
      </c>
      <c r="F795" s="2">
        <v>150.22999999999999</v>
      </c>
      <c r="G795" s="2">
        <v>-146.44</v>
      </c>
    </row>
    <row r="796" spans="1:7">
      <c r="A796" s="2" t="s">
        <v>813</v>
      </c>
      <c r="B796" s="3">
        <v>45721</v>
      </c>
      <c r="C796" s="2" t="s">
        <v>13</v>
      </c>
      <c r="D796" s="2" t="s">
        <v>11</v>
      </c>
      <c r="E796" s="2" t="s">
        <v>18</v>
      </c>
      <c r="F796" s="2">
        <v>652.14</v>
      </c>
      <c r="G796" s="2"/>
    </row>
    <row r="797" spans="1:7">
      <c r="A797" s="2" t="s">
        <v>814</v>
      </c>
      <c r="B797" s="3">
        <v>45722</v>
      </c>
      <c r="C797" s="2" t="s">
        <v>13</v>
      </c>
      <c r="D797" s="2" t="s">
        <v>11</v>
      </c>
      <c r="E797" s="2" t="s">
        <v>9</v>
      </c>
      <c r="F797" s="2"/>
      <c r="G797" s="2"/>
    </row>
    <row r="798" spans="1:7">
      <c r="A798" s="2" t="s">
        <v>815</v>
      </c>
      <c r="B798" s="3">
        <v>45723</v>
      </c>
      <c r="C798" s="2" t="s">
        <v>11</v>
      </c>
      <c r="D798" s="2" t="s">
        <v>32</v>
      </c>
      <c r="E798" s="2"/>
      <c r="F798" s="2">
        <v>142.81</v>
      </c>
      <c r="G798" s="4"/>
    </row>
    <row r="799" spans="1:7">
      <c r="A799" s="2" t="s">
        <v>816</v>
      </c>
      <c r="B799" s="3">
        <v>45724</v>
      </c>
      <c r="C799" s="2" t="s">
        <v>21</v>
      </c>
      <c r="D799" s="2" t="s">
        <v>22</v>
      </c>
      <c r="E799" s="2" t="s">
        <v>9</v>
      </c>
      <c r="F799" s="2"/>
      <c r="G799" s="2">
        <v>192.07</v>
      </c>
    </row>
    <row r="800" spans="1:7">
      <c r="A800" s="2" t="s">
        <v>817</v>
      </c>
      <c r="B800" s="3">
        <v>45725</v>
      </c>
      <c r="C800" s="2" t="s">
        <v>21</v>
      </c>
      <c r="D800" s="2"/>
      <c r="E800" s="2" t="s">
        <v>24</v>
      </c>
      <c r="F800" s="2"/>
      <c r="G800" s="2">
        <v>261.33999999999997</v>
      </c>
    </row>
    <row r="801" spans="1:7">
      <c r="A801" s="2" t="s">
        <v>818</v>
      </c>
      <c r="B801" s="3">
        <v>45726</v>
      </c>
      <c r="C801" s="2" t="s">
        <v>16</v>
      </c>
      <c r="D801" s="2" t="s">
        <v>8</v>
      </c>
      <c r="E801" s="2" t="s">
        <v>18</v>
      </c>
      <c r="F801" s="2"/>
      <c r="G801" s="2">
        <v>199.98</v>
      </c>
    </row>
    <row r="802" spans="1:7">
      <c r="A802" s="2" t="s">
        <v>819</v>
      </c>
      <c r="B802" s="3">
        <v>45727</v>
      </c>
      <c r="C802" s="2" t="s">
        <v>8</v>
      </c>
      <c r="D802" s="2"/>
      <c r="E802" s="2">
        <v>103.95</v>
      </c>
      <c r="F802" s="4"/>
      <c r="G802" s="4"/>
    </row>
    <row r="803" spans="1:7">
      <c r="A803" s="2" t="s">
        <v>820</v>
      </c>
      <c r="B803" s="3">
        <v>45728</v>
      </c>
      <c r="C803" s="2" t="s">
        <v>16</v>
      </c>
      <c r="D803" s="2"/>
      <c r="E803" s="2" t="s">
        <v>32</v>
      </c>
      <c r="F803" s="2"/>
      <c r="G803" s="2">
        <v>11.45</v>
      </c>
    </row>
    <row r="804" spans="1:7">
      <c r="A804" s="2" t="s">
        <v>821</v>
      </c>
      <c r="B804" s="3">
        <v>45729</v>
      </c>
      <c r="C804" s="2" t="s">
        <v>27</v>
      </c>
      <c r="D804" s="2" t="s">
        <v>8</v>
      </c>
      <c r="E804" s="2" t="s">
        <v>32</v>
      </c>
      <c r="F804" s="2"/>
      <c r="G804" s="2"/>
    </row>
    <row r="805" spans="1:7">
      <c r="A805" s="2" t="s">
        <v>822</v>
      </c>
      <c r="B805" s="3">
        <v>45730</v>
      </c>
      <c r="C805" s="2" t="s">
        <v>21</v>
      </c>
      <c r="D805" s="2"/>
      <c r="E805" s="2" t="s">
        <v>32</v>
      </c>
      <c r="F805" s="2"/>
      <c r="G805" s="2"/>
    </row>
    <row r="806" spans="1:7">
      <c r="A806" s="2" t="s">
        <v>823</v>
      </c>
      <c r="B806" s="3">
        <v>45731</v>
      </c>
      <c r="C806" s="2" t="s">
        <v>13</v>
      </c>
      <c r="D806" s="2" t="s">
        <v>11</v>
      </c>
      <c r="E806" s="2" t="s">
        <v>9</v>
      </c>
      <c r="F806" s="2"/>
      <c r="G806" s="2">
        <v>-174.51</v>
      </c>
    </row>
    <row r="807" spans="1:7">
      <c r="A807" s="2" t="s">
        <v>824</v>
      </c>
      <c r="B807" s="3">
        <v>45732</v>
      </c>
      <c r="C807" s="2" t="s">
        <v>27</v>
      </c>
      <c r="D807" s="2" t="s">
        <v>11</v>
      </c>
      <c r="E807" s="2" t="s">
        <v>32</v>
      </c>
      <c r="F807" s="2">
        <v>662.58</v>
      </c>
      <c r="G807" s="2">
        <v>-138.4</v>
      </c>
    </row>
    <row r="808" spans="1:7">
      <c r="A808" s="2" t="s">
        <v>825</v>
      </c>
      <c r="B808" s="3">
        <v>45733</v>
      </c>
      <c r="C808" s="2" t="s">
        <v>21</v>
      </c>
      <c r="D808" s="2" t="s">
        <v>11</v>
      </c>
      <c r="E808" s="2" t="s">
        <v>32</v>
      </c>
      <c r="F808" s="2">
        <v>645.39</v>
      </c>
      <c r="G808" s="2">
        <v>-61.41</v>
      </c>
    </row>
    <row r="809" spans="1:7">
      <c r="A809" s="2" t="s">
        <v>826</v>
      </c>
      <c r="B809" s="3">
        <v>45734</v>
      </c>
      <c r="C809" s="2" t="s">
        <v>21</v>
      </c>
      <c r="D809" s="2"/>
      <c r="E809" s="2" t="s">
        <v>24</v>
      </c>
      <c r="F809" s="2"/>
      <c r="G809" s="2">
        <v>-178.36</v>
      </c>
    </row>
    <row r="810" spans="1:7">
      <c r="A810" s="2" t="s">
        <v>827</v>
      </c>
      <c r="B810" s="3">
        <v>45735</v>
      </c>
      <c r="C810" s="2" t="s">
        <v>21</v>
      </c>
      <c r="D810" s="2"/>
      <c r="E810" s="2"/>
      <c r="F810" s="2">
        <v>885.27</v>
      </c>
      <c r="G810" s="2">
        <v>61.61</v>
      </c>
    </row>
    <row r="811" spans="1:7">
      <c r="A811" s="2" t="s">
        <v>828</v>
      </c>
      <c r="B811" s="3">
        <v>45736</v>
      </c>
      <c r="C811" s="2" t="s">
        <v>13</v>
      </c>
      <c r="D811" s="2"/>
      <c r="E811" s="2" t="s">
        <v>32</v>
      </c>
      <c r="F811" s="2"/>
      <c r="G811" s="2">
        <v>-94.57</v>
      </c>
    </row>
    <row r="812" spans="1:7">
      <c r="A812" s="2" t="s">
        <v>829</v>
      </c>
      <c r="B812" s="3">
        <v>45737</v>
      </c>
      <c r="C812" s="2" t="s">
        <v>21</v>
      </c>
      <c r="D812" s="2" t="s">
        <v>8</v>
      </c>
      <c r="E812" s="2" t="s">
        <v>14</v>
      </c>
      <c r="F812" s="2">
        <v>625.21</v>
      </c>
      <c r="G812" s="2">
        <v>171.92</v>
      </c>
    </row>
    <row r="813" spans="1:7">
      <c r="A813" s="2" t="s">
        <v>830</v>
      </c>
      <c r="B813" s="3">
        <v>45738</v>
      </c>
      <c r="C813" s="2" t="s">
        <v>8</v>
      </c>
      <c r="D813" s="2" t="s">
        <v>32</v>
      </c>
      <c r="E813" s="2">
        <v>622.02</v>
      </c>
      <c r="F813" s="2"/>
      <c r="G813" s="4"/>
    </row>
    <row r="814" spans="1:7">
      <c r="A814" s="2" t="s">
        <v>831</v>
      </c>
      <c r="B814" s="3">
        <v>45739</v>
      </c>
      <c r="C814" s="2"/>
      <c r="D814" s="2"/>
      <c r="E814" s="2"/>
      <c r="F814" s="2">
        <v>234.31</v>
      </c>
      <c r="G814" s="4"/>
    </row>
    <row r="815" spans="1:7">
      <c r="A815" s="2" t="s">
        <v>832</v>
      </c>
      <c r="B815" s="3">
        <v>45740</v>
      </c>
      <c r="C815" s="2" t="s">
        <v>13</v>
      </c>
      <c r="D815" s="2" t="s">
        <v>11</v>
      </c>
      <c r="E815" s="2" t="s">
        <v>18</v>
      </c>
      <c r="F815" s="2"/>
      <c r="G815" s="2"/>
    </row>
    <row r="816" spans="1:7">
      <c r="A816" s="2" t="s">
        <v>833</v>
      </c>
      <c r="B816" s="3">
        <v>45741</v>
      </c>
      <c r="C816" s="2" t="s">
        <v>21</v>
      </c>
      <c r="D816" s="2"/>
      <c r="E816" s="2" t="s">
        <v>14</v>
      </c>
      <c r="F816" s="2">
        <v>114.77</v>
      </c>
      <c r="G816" s="2"/>
    </row>
    <row r="817" spans="1:7">
      <c r="A817" s="2" t="s">
        <v>834</v>
      </c>
      <c r="B817" s="3">
        <v>45742</v>
      </c>
      <c r="C817" s="2" t="s">
        <v>21</v>
      </c>
      <c r="D817" s="2"/>
      <c r="E817" s="2" t="s">
        <v>9</v>
      </c>
      <c r="F817" s="2">
        <v>738.51</v>
      </c>
      <c r="G817" s="2"/>
    </row>
    <row r="818" spans="1:7">
      <c r="A818" s="2" t="s">
        <v>835</v>
      </c>
      <c r="B818" s="3">
        <v>45743</v>
      </c>
      <c r="C818" s="2" t="s">
        <v>16</v>
      </c>
      <c r="D818" s="2"/>
      <c r="E818" s="2" t="s">
        <v>9</v>
      </c>
      <c r="F818" s="2"/>
      <c r="G818" s="2"/>
    </row>
    <row r="819" spans="1:7">
      <c r="A819" s="2" t="s">
        <v>836</v>
      </c>
      <c r="B819" s="3">
        <v>45744</v>
      </c>
      <c r="C819" s="2" t="s">
        <v>16</v>
      </c>
      <c r="D819" s="2" t="s">
        <v>8</v>
      </c>
      <c r="E819" s="2" t="s">
        <v>24</v>
      </c>
      <c r="F819" s="2"/>
      <c r="G819" s="2"/>
    </row>
    <row r="820" spans="1:7">
      <c r="A820" s="2" t="s">
        <v>837</v>
      </c>
      <c r="B820" s="3">
        <v>45745</v>
      </c>
      <c r="C820" s="2" t="s">
        <v>21</v>
      </c>
      <c r="D820" s="2" t="s">
        <v>11</v>
      </c>
      <c r="E820" s="2"/>
      <c r="F820" s="2"/>
      <c r="G820" s="2"/>
    </row>
    <row r="821" spans="1:7">
      <c r="A821" s="2" t="s">
        <v>838</v>
      </c>
      <c r="B821" s="3">
        <v>45746</v>
      </c>
      <c r="C821" s="2" t="s">
        <v>21</v>
      </c>
      <c r="D821" s="2" t="s">
        <v>11</v>
      </c>
      <c r="E821" s="2" t="s">
        <v>24</v>
      </c>
      <c r="F821" s="2"/>
      <c r="G821" s="2">
        <v>296.52999999999997</v>
      </c>
    </row>
    <row r="822" spans="1:7">
      <c r="A822" s="2" t="s">
        <v>839</v>
      </c>
      <c r="B822" s="3">
        <v>45747</v>
      </c>
      <c r="C822" s="2" t="s">
        <v>13</v>
      </c>
      <c r="D822" s="2"/>
      <c r="E822" s="2" t="s">
        <v>24</v>
      </c>
      <c r="F822" s="2">
        <v>142.18</v>
      </c>
      <c r="G822" s="2"/>
    </row>
    <row r="823" spans="1:7">
      <c r="A823" s="2" t="s">
        <v>840</v>
      </c>
      <c r="B823" s="3">
        <v>45748</v>
      </c>
      <c r="C823" s="2" t="s">
        <v>21</v>
      </c>
      <c r="D823" s="2" t="s">
        <v>8</v>
      </c>
      <c r="E823" s="2" t="s">
        <v>18</v>
      </c>
      <c r="F823" s="2"/>
      <c r="G823" s="2"/>
    </row>
    <row r="824" spans="1:7">
      <c r="A824" s="2" t="s">
        <v>841</v>
      </c>
      <c r="B824" s="3">
        <v>45749</v>
      </c>
      <c r="C824" s="2" t="s">
        <v>27</v>
      </c>
      <c r="D824" s="2" t="s">
        <v>8</v>
      </c>
      <c r="E824" s="2" t="s">
        <v>24</v>
      </c>
      <c r="F824" s="2">
        <v>429.26</v>
      </c>
      <c r="G824" s="2"/>
    </row>
    <row r="825" spans="1:7">
      <c r="A825" s="2" t="s">
        <v>842</v>
      </c>
      <c r="B825" s="3">
        <v>45750</v>
      </c>
      <c r="C825" s="2" t="s">
        <v>27</v>
      </c>
      <c r="D825" s="2"/>
      <c r="E825" s="2" t="s">
        <v>9</v>
      </c>
      <c r="F825" s="2">
        <v>582.37</v>
      </c>
      <c r="G825" s="2"/>
    </row>
    <row r="826" spans="1:7">
      <c r="A826" s="2" t="s">
        <v>843</v>
      </c>
      <c r="B826" s="3">
        <v>45751</v>
      </c>
      <c r="C826" s="2" t="s">
        <v>13</v>
      </c>
      <c r="D826" s="2" t="s">
        <v>11</v>
      </c>
      <c r="E826" s="2" t="s">
        <v>24</v>
      </c>
      <c r="F826" s="2">
        <v>104.56</v>
      </c>
      <c r="G826" s="2">
        <v>218.26</v>
      </c>
    </row>
    <row r="827" spans="1:7">
      <c r="A827" s="2" t="s">
        <v>844</v>
      </c>
      <c r="B827" s="3">
        <v>45752</v>
      </c>
      <c r="C827" s="2" t="s">
        <v>27</v>
      </c>
      <c r="D827" s="2" t="s">
        <v>8</v>
      </c>
      <c r="E827" s="2" t="s">
        <v>18</v>
      </c>
      <c r="F827" s="2"/>
      <c r="G827" s="2">
        <v>86.47</v>
      </c>
    </row>
    <row r="828" spans="1:7">
      <c r="A828" s="2" t="s">
        <v>845</v>
      </c>
      <c r="B828" s="3">
        <v>45753</v>
      </c>
      <c r="C828" s="2"/>
      <c r="D828" s="2" t="s">
        <v>24</v>
      </c>
      <c r="E828" s="2"/>
      <c r="F828" s="2"/>
      <c r="G828" s="4"/>
    </row>
    <row r="829" spans="1:7">
      <c r="A829" s="2" t="s">
        <v>846</v>
      </c>
      <c r="B829" s="3">
        <v>45754</v>
      </c>
      <c r="C829" s="2" t="s">
        <v>13</v>
      </c>
      <c r="D829" s="2" t="s">
        <v>8</v>
      </c>
      <c r="E829" s="2" t="s">
        <v>32</v>
      </c>
      <c r="F829" s="2"/>
      <c r="G829" s="2"/>
    </row>
    <row r="830" spans="1:7">
      <c r="A830" s="2" t="s">
        <v>847</v>
      </c>
      <c r="B830" s="3">
        <v>45755</v>
      </c>
      <c r="C830" s="2" t="s">
        <v>27</v>
      </c>
      <c r="D830" s="2" t="s">
        <v>22</v>
      </c>
      <c r="E830" s="2" t="s">
        <v>32</v>
      </c>
      <c r="F830" s="2"/>
      <c r="G830" s="2"/>
    </row>
    <row r="831" spans="1:7">
      <c r="A831" s="2" t="s">
        <v>848</v>
      </c>
      <c r="B831" s="3">
        <v>45756</v>
      </c>
      <c r="C831" s="2" t="s">
        <v>11</v>
      </c>
      <c r="D831" s="2" t="s">
        <v>32</v>
      </c>
      <c r="E831" s="2">
        <v>623.84</v>
      </c>
      <c r="F831" s="2">
        <v>267.02999999999997</v>
      </c>
      <c r="G831" s="4"/>
    </row>
    <row r="832" spans="1:7">
      <c r="A832" s="2" t="s">
        <v>849</v>
      </c>
      <c r="B832" s="3">
        <v>45757</v>
      </c>
      <c r="C832" s="2" t="s">
        <v>27</v>
      </c>
      <c r="D832" s="2" t="s">
        <v>8</v>
      </c>
      <c r="E832" s="2" t="s">
        <v>32</v>
      </c>
      <c r="F832" s="2">
        <v>299.51</v>
      </c>
      <c r="G832" s="2">
        <v>-106.18</v>
      </c>
    </row>
    <row r="833" spans="1:7">
      <c r="A833" s="2" t="s">
        <v>850</v>
      </c>
      <c r="B833" s="3">
        <v>45758</v>
      </c>
      <c r="C833" s="2" t="s">
        <v>22</v>
      </c>
      <c r="D833" s="2" t="s">
        <v>32</v>
      </c>
      <c r="E833" s="2"/>
      <c r="F833" s="2"/>
      <c r="G833" s="4"/>
    </row>
    <row r="834" spans="1:7">
      <c r="A834" s="2" t="s">
        <v>851</v>
      </c>
      <c r="B834" s="3">
        <v>45759</v>
      </c>
      <c r="C834" s="2" t="s">
        <v>13</v>
      </c>
      <c r="D834" s="2"/>
      <c r="E834" s="2" t="s">
        <v>9</v>
      </c>
      <c r="F834" s="2">
        <v>978.96</v>
      </c>
      <c r="G834" s="2">
        <v>63.98</v>
      </c>
    </row>
    <row r="835" spans="1:7">
      <c r="A835" s="2" t="s">
        <v>852</v>
      </c>
      <c r="B835" s="3">
        <v>45760</v>
      </c>
      <c r="C835" s="2" t="s">
        <v>11</v>
      </c>
      <c r="D835" s="2" t="s">
        <v>32</v>
      </c>
      <c r="E835" s="2">
        <v>217.59</v>
      </c>
      <c r="F835" s="2">
        <v>26.23</v>
      </c>
      <c r="G835" s="4"/>
    </row>
    <row r="836" spans="1:7">
      <c r="A836" s="2" t="s">
        <v>853</v>
      </c>
      <c r="B836" s="3">
        <v>45761</v>
      </c>
      <c r="C836" s="2" t="s">
        <v>16</v>
      </c>
      <c r="D836" s="2" t="s">
        <v>22</v>
      </c>
      <c r="E836" s="2" t="s">
        <v>24</v>
      </c>
      <c r="F836" s="2"/>
      <c r="G836" s="2">
        <v>92.52</v>
      </c>
    </row>
    <row r="837" spans="1:7">
      <c r="A837" s="2" t="s">
        <v>854</v>
      </c>
      <c r="B837" s="3">
        <v>45762</v>
      </c>
      <c r="C837" s="2" t="s">
        <v>27</v>
      </c>
      <c r="D837" s="2" t="s">
        <v>11</v>
      </c>
      <c r="E837" s="2" t="s">
        <v>24</v>
      </c>
      <c r="F837" s="2">
        <v>910.84</v>
      </c>
      <c r="G837" s="2">
        <v>-95.16</v>
      </c>
    </row>
    <row r="838" spans="1:7">
      <c r="A838" s="2" t="s">
        <v>855</v>
      </c>
      <c r="B838" s="3">
        <v>45763</v>
      </c>
      <c r="C838" s="2" t="s">
        <v>16</v>
      </c>
      <c r="D838" s="2"/>
      <c r="E838" s="2" t="s">
        <v>24</v>
      </c>
      <c r="F838" s="2">
        <v>573.41</v>
      </c>
      <c r="G838" s="2">
        <v>-73.8</v>
      </c>
    </row>
    <row r="839" spans="1:7">
      <c r="A839" s="2" t="s">
        <v>856</v>
      </c>
      <c r="B839" s="3">
        <v>45764</v>
      </c>
      <c r="C839" s="2" t="s">
        <v>13</v>
      </c>
      <c r="D839" s="2"/>
      <c r="E839" s="2" t="s">
        <v>18</v>
      </c>
      <c r="F839" s="2">
        <v>225.21</v>
      </c>
      <c r="G839" s="2">
        <v>-168.55</v>
      </c>
    </row>
    <row r="840" spans="1:7">
      <c r="A840" s="2" t="s">
        <v>857</v>
      </c>
      <c r="B840" s="3">
        <v>45765</v>
      </c>
      <c r="C840" s="2" t="s">
        <v>16</v>
      </c>
      <c r="D840" s="2" t="s">
        <v>11</v>
      </c>
      <c r="E840" s="2"/>
      <c r="F840" s="2"/>
      <c r="G840" s="2">
        <v>-84.58</v>
      </c>
    </row>
    <row r="841" spans="1:7">
      <c r="A841" s="2" t="s">
        <v>858</v>
      </c>
      <c r="B841" s="3">
        <v>45766</v>
      </c>
      <c r="C841" s="2" t="s">
        <v>22</v>
      </c>
      <c r="D841" s="2" t="s">
        <v>14</v>
      </c>
      <c r="E841" s="2"/>
      <c r="F841" s="2"/>
      <c r="G841" s="4"/>
    </row>
    <row r="842" spans="1:7">
      <c r="A842" s="2" t="s">
        <v>859</v>
      </c>
      <c r="B842" s="3">
        <v>45767</v>
      </c>
      <c r="C842" s="2" t="s">
        <v>13</v>
      </c>
      <c r="D842" s="2"/>
      <c r="E842" s="2"/>
      <c r="F842" s="2">
        <v>476.35</v>
      </c>
      <c r="G842" s="2">
        <v>253.81</v>
      </c>
    </row>
    <row r="843" spans="1:7">
      <c r="A843" s="2" t="s">
        <v>860</v>
      </c>
      <c r="B843" s="3">
        <v>45768</v>
      </c>
      <c r="C843" s="2" t="s">
        <v>16</v>
      </c>
      <c r="D843" s="2" t="s">
        <v>11</v>
      </c>
      <c r="E843" s="2" t="s">
        <v>14</v>
      </c>
      <c r="F843" s="2"/>
      <c r="G843" s="2"/>
    </row>
    <row r="844" spans="1:7">
      <c r="A844" s="2" t="s">
        <v>861</v>
      </c>
      <c r="B844" s="3">
        <v>45769</v>
      </c>
      <c r="C844" s="2" t="s">
        <v>16</v>
      </c>
      <c r="D844" s="2" t="s">
        <v>22</v>
      </c>
      <c r="E844" s="2" t="s">
        <v>14</v>
      </c>
      <c r="F844" s="2"/>
      <c r="G844" s="2">
        <v>-136.77000000000001</v>
      </c>
    </row>
    <row r="845" spans="1:7">
      <c r="A845" s="2" t="s">
        <v>862</v>
      </c>
      <c r="B845" s="3">
        <v>45770</v>
      </c>
      <c r="C845" s="2" t="s">
        <v>8</v>
      </c>
      <c r="D845" s="2" t="s">
        <v>24</v>
      </c>
      <c r="E845" s="2"/>
      <c r="F845" s="2">
        <v>-81.36</v>
      </c>
      <c r="G845" s="4"/>
    </row>
    <row r="846" spans="1:7">
      <c r="A846" s="2" t="s">
        <v>863</v>
      </c>
      <c r="B846" s="3">
        <v>45771</v>
      </c>
      <c r="C846" s="2" t="s">
        <v>16</v>
      </c>
      <c r="D846" s="2" t="s">
        <v>22</v>
      </c>
      <c r="E846" s="2" t="s">
        <v>18</v>
      </c>
      <c r="F846" s="2">
        <v>437.01</v>
      </c>
      <c r="G846" s="2"/>
    </row>
    <row r="847" spans="1:7">
      <c r="A847" s="2" t="s">
        <v>864</v>
      </c>
      <c r="B847" s="3">
        <v>45772</v>
      </c>
      <c r="C847" s="2" t="s">
        <v>21</v>
      </c>
      <c r="D847" s="2"/>
      <c r="E847" s="2" t="s">
        <v>9</v>
      </c>
      <c r="F847" s="2">
        <v>491.12</v>
      </c>
      <c r="G847" s="2">
        <v>284.20999999999998</v>
      </c>
    </row>
    <row r="848" spans="1:7">
      <c r="A848" s="2" t="s">
        <v>865</v>
      </c>
      <c r="B848" s="3">
        <v>45773</v>
      </c>
      <c r="C848" s="2" t="s">
        <v>22</v>
      </c>
      <c r="D848" s="2" t="s">
        <v>24</v>
      </c>
      <c r="E848" s="2">
        <v>307.88</v>
      </c>
      <c r="F848" s="2"/>
      <c r="G848" s="4"/>
    </row>
    <row r="849" spans="1:7">
      <c r="A849" s="2" t="s">
        <v>866</v>
      </c>
      <c r="B849" s="3">
        <v>45774</v>
      </c>
      <c r="C849" s="2" t="s">
        <v>13</v>
      </c>
      <c r="D849" s="2" t="s">
        <v>11</v>
      </c>
      <c r="E849" s="2" t="s">
        <v>24</v>
      </c>
      <c r="F849" s="2">
        <v>140.84</v>
      </c>
      <c r="G849" s="2"/>
    </row>
    <row r="850" spans="1:7">
      <c r="A850" s="2" t="s">
        <v>867</v>
      </c>
      <c r="B850" s="3">
        <v>45775</v>
      </c>
      <c r="C850" s="2" t="s">
        <v>21</v>
      </c>
      <c r="D850" s="2" t="s">
        <v>8</v>
      </c>
      <c r="E850" s="2" t="s">
        <v>24</v>
      </c>
      <c r="F850" s="2"/>
      <c r="G850" s="2"/>
    </row>
    <row r="851" spans="1:7">
      <c r="A851" s="2" t="s">
        <v>868</v>
      </c>
      <c r="B851" s="3">
        <v>45776</v>
      </c>
      <c r="C851" s="2" t="s">
        <v>27</v>
      </c>
      <c r="D851" s="2" t="s">
        <v>22</v>
      </c>
      <c r="E851" s="2" t="s">
        <v>24</v>
      </c>
      <c r="F851" s="2">
        <v>270.49</v>
      </c>
      <c r="G851" s="2"/>
    </row>
    <row r="852" spans="1:7">
      <c r="A852" s="2" t="s">
        <v>869</v>
      </c>
      <c r="B852" s="3">
        <v>45777</v>
      </c>
      <c r="C852" s="2" t="s">
        <v>13</v>
      </c>
      <c r="D852" s="2"/>
      <c r="E852" s="2" t="s">
        <v>9</v>
      </c>
      <c r="F852" s="2">
        <v>295.87</v>
      </c>
      <c r="G852" s="2">
        <v>-55.29</v>
      </c>
    </row>
    <row r="853" spans="1:7">
      <c r="A853" s="2" t="s">
        <v>870</v>
      </c>
      <c r="B853" s="3">
        <v>45778</v>
      </c>
      <c r="C853" s="2" t="s">
        <v>16</v>
      </c>
      <c r="D853" s="2"/>
      <c r="E853" s="2"/>
      <c r="F853" s="2">
        <v>125.5</v>
      </c>
      <c r="G853" s="2"/>
    </row>
    <row r="854" spans="1:7">
      <c r="A854" s="2" t="s">
        <v>871</v>
      </c>
      <c r="B854" s="3">
        <v>45779</v>
      </c>
      <c r="C854" s="2" t="s">
        <v>22</v>
      </c>
      <c r="D854" s="2" t="s">
        <v>9</v>
      </c>
      <c r="E854" s="2"/>
      <c r="F854" s="2"/>
      <c r="G854" s="4"/>
    </row>
    <row r="855" spans="1:7">
      <c r="A855" s="2" t="s">
        <v>872</v>
      </c>
      <c r="B855" s="3">
        <v>45780</v>
      </c>
      <c r="C855" s="2" t="s">
        <v>13</v>
      </c>
      <c r="D855" s="2" t="s">
        <v>11</v>
      </c>
      <c r="E855" s="2" t="s">
        <v>14</v>
      </c>
      <c r="F855" s="2">
        <v>542.86</v>
      </c>
      <c r="G855" s="2"/>
    </row>
    <row r="856" spans="1:7">
      <c r="A856" s="2" t="s">
        <v>873</v>
      </c>
      <c r="B856" s="3">
        <v>45781</v>
      </c>
      <c r="C856" s="2" t="s">
        <v>16</v>
      </c>
      <c r="D856" s="2" t="s">
        <v>22</v>
      </c>
      <c r="E856" s="2" t="s">
        <v>9</v>
      </c>
      <c r="F856" s="2"/>
      <c r="G856" s="2">
        <v>229.41</v>
      </c>
    </row>
    <row r="857" spans="1:7">
      <c r="A857" s="2" t="s">
        <v>874</v>
      </c>
      <c r="B857" s="3">
        <v>45782</v>
      </c>
      <c r="C857" s="2" t="s">
        <v>16</v>
      </c>
      <c r="D857" s="2" t="s">
        <v>8</v>
      </c>
      <c r="E857" s="2"/>
      <c r="F857" s="2"/>
      <c r="G857" s="4"/>
    </row>
    <row r="858" spans="1:7">
      <c r="A858" s="2" t="s">
        <v>875</v>
      </c>
      <c r="B858" s="3">
        <v>45783</v>
      </c>
      <c r="C858" s="2" t="s">
        <v>8</v>
      </c>
      <c r="D858" s="2" t="s">
        <v>24</v>
      </c>
      <c r="E858" s="2"/>
      <c r="F858" s="2">
        <v>194.89</v>
      </c>
      <c r="G858" s="4"/>
    </row>
    <row r="859" spans="1:7">
      <c r="A859" s="2" t="s">
        <v>876</v>
      </c>
      <c r="B859" s="3">
        <v>45784</v>
      </c>
      <c r="C859" s="2" t="s">
        <v>21</v>
      </c>
      <c r="D859" s="2" t="s">
        <v>11</v>
      </c>
      <c r="E859" s="2" t="s">
        <v>32</v>
      </c>
      <c r="F859" s="2">
        <v>792.65</v>
      </c>
      <c r="G859" s="2">
        <v>-106.61</v>
      </c>
    </row>
    <row r="860" spans="1:7">
      <c r="A860" s="2" t="s">
        <v>877</v>
      </c>
      <c r="B860" s="3">
        <v>45785</v>
      </c>
      <c r="C860" s="2" t="s">
        <v>21</v>
      </c>
      <c r="D860" s="2" t="s">
        <v>8</v>
      </c>
      <c r="E860" s="2" t="s">
        <v>14</v>
      </c>
      <c r="F860" s="2">
        <v>260.26</v>
      </c>
      <c r="G860" s="2">
        <v>217.38</v>
      </c>
    </row>
    <row r="861" spans="1:7">
      <c r="A861" s="2" t="s">
        <v>878</v>
      </c>
      <c r="B861" s="3">
        <v>45786</v>
      </c>
      <c r="C861" s="2" t="s">
        <v>16</v>
      </c>
      <c r="D861" s="2" t="s">
        <v>11</v>
      </c>
      <c r="E861" s="2" t="s">
        <v>14</v>
      </c>
      <c r="F861" s="2">
        <v>815.15</v>
      </c>
      <c r="G861" s="2"/>
    </row>
    <row r="862" spans="1:7">
      <c r="A862" s="2" t="s">
        <v>879</v>
      </c>
      <c r="B862" s="3">
        <v>45787</v>
      </c>
      <c r="C862" s="2" t="s">
        <v>16</v>
      </c>
      <c r="D862" s="2" t="s">
        <v>11</v>
      </c>
      <c r="E862" s="2" t="s">
        <v>14</v>
      </c>
      <c r="F862" s="2">
        <v>777.16</v>
      </c>
      <c r="G862" s="2"/>
    </row>
    <row r="863" spans="1:7">
      <c r="A863" s="2" t="s">
        <v>880</v>
      </c>
      <c r="B863" s="3">
        <v>45788</v>
      </c>
      <c r="C863" s="2" t="s">
        <v>13</v>
      </c>
      <c r="D863" s="2"/>
      <c r="E863" s="2" t="s">
        <v>14</v>
      </c>
      <c r="F863" s="2"/>
      <c r="G863" s="2">
        <v>84.85</v>
      </c>
    </row>
    <row r="864" spans="1:7">
      <c r="A864" s="2" t="s">
        <v>881</v>
      </c>
      <c r="B864" s="3">
        <v>45789</v>
      </c>
      <c r="C864" s="2" t="s">
        <v>22</v>
      </c>
      <c r="D864" s="2" t="s">
        <v>24</v>
      </c>
      <c r="E864" s="2">
        <v>362.87</v>
      </c>
      <c r="F864" s="2"/>
      <c r="G864" s="4"/>
    </row>
    <row r="865" spans="1:7">
      <c r="A865" s="2" t="s">
        <v>882</v>
      </c>
      <c r="B865" s="3">
        <v>45790</v>
      </c>
      <c r="C865" s="2" t="s">
        <v>16</v>
      </c>
      <c r="D865" s="2"/>
      <c r="E865" s="2" t="s">
        <v>18</v>
      </c>
      <c r="F865" s="2">
        <v>63.75</v>
      </c>
      <c r="G865" s="2">
        <v>35.549999999999997</v>
      </c>
    </row>
    <row r="866" spans="1:7">
      <c r="A866" s="2" t="s">
        <v>883</v>
      </c>
      <c r="B866" s="3">
        <v>45791</v>
      </c>
      <c r="C866" s="2" t="s">
        <v>13</v>
      </c>
      <c r="D866" s="2" t="s">
        <v>22</v>
      </c>
      <c r="E866" s="2" t="s">
        <v>14</v>
      </c>
      <c r="F866" s="2">
        <v>782.77</v>
      </c>
      <c r="G866" s="2"/>
    </row>
    <row r="867" spans="1:7">
      <c r="A867" s="2" t="s">
        <v>884</v>
      </c>
      <c r="B867" s="3">
        <v>45792</v>
      </c>
      <c r="C867" s="2" t="s">
        <v>27</v>
      </c>
      <c r="D867" s="2" t="s">
        <v>11</v>
      </c>
      <c r="E867" s="2"/>
      <c r="F867" s="2"/>
      <c r="G867" s="2"/>
    </row>
    <row r="868" spans="1:7">
      <c r="A868" s="2" t="s">
        <v>885</v>
      </c>
      <c r="B868" s="3">
        <v>45793</v>
      </c>
      <c r="C868" s="2" t="s">
        <v>22</v>
      </c>
      <c r="D868" s="2"/>
      <c r="E868" s="2"/>
      <c r="F868" s="2">
        <v>-155.85</v>
      </c>
      <c r="G868" s="4"/>
    </row>
    <row r="869" spans="1:7">
      <c r="A869" s="2" t="s">
        <v>886</v>
      </c>
      <c r="B869" s="3">
        <v>45794</v>
      </c>
      <c r="C869" s="2" t="s">
        <v>16</v>
      </c>
      <c r="D869" s="2"/>
      <c r="E869" s="2" t="s">
        <v>14</v>
      </c>
      <c r="F869" s="2">
        <v>875.78</v>
      </c>
      <c r="G869" s="2">
        <v>-89.09</v>
      </c>
    </row>
    <row r="870" spans="1:7">
      <c r="A870" s="2" t="s">
        <v>887</v>
      </c>
      <c r="B870" s="3">
        <v>45795</v>
      </c>
      <c r="C870" s="2" t="s">
        <v>13</v>
      </c>
      <c r="D870" s="2"/>
      <c r="E870" s="2" t="s">
        <v>9</v>
      </c>
      <c r="F870" s="2"/>
      <c r="G870" s="2">
        <v>-144.26</v>
      </c>
    </row>
    <row r="871" spans="1:7">
      <c r="A871" s="2" t="s">
        <v>888</v>
      </c>
      <c r="B871" s="3">
        <v>45796</v>
      </c>
      <c r="C871" s="2" t="s">
        <v>21</v>
      </c>
      <c r="D871" s="2"/>
      <c r="E871" s="2" t="s">
        <v>18</v>
      </c>
      <c r="F871" s="2">
        <v>965.84</v>
      </c>
      <c r="G871" s="2"/>
    </row>
    <row r="872" spans="1:7">
      <c r="A872" s="2" t="s">
        <v>889</v>
      </c>
      <c r="B872" s="3">
        <v>45797</v>
      </c>
      <c r="C872" s="2" t="s">
        <v>16</v>
      </c>
      <c r="D872" s="2" t="s">
        <v>11</v>
      </c>
      <c r="E872" s="2"/>
      <c r="F872" s="2">
        <v>842.87</v>
      </c>
      <c r="G872" s="2"/>
    </row>
    <row r="873" spans="1:7">
      <c r="A873" s="2" t="s">
        <v>890</v>
      </c>
      <c r="B873" s="3">
        <v>45798</v>
      </c>
      <c r="C873" s="2" t="s">
        <v>27</v>
      </c>
      <c r="D873" s="2"/>
      <c r="E873" s="2" t="s">
        <v>24</v>
      </c>
      <c r="F873" s="2"/>
      <c r="G873" s="2"/>
    </row>
    <row r="874" spans="1:7">
      <c r="A874" s="2" t="s">
        <v>891</v>
      </c>
      <c r="B874" s="3">
        <v>45799</v>
      </c>
      <c r="C874" s="2" t="s">
        <v>16</v>
      </c>
      <c r="D874" s="2" t="s">
        <v>22</v>
      </c>
      <c r="E874" s="2" t="s">
        <v>18</v>
      </c>
      <c r="F874" s="2"/>
      <c r="G874" s="2">
        <v>286.26</v>
      </c>
    </row>
    <row r="875" spans="1:7">
      <c r="A875" s="2" t="s">
        <v>892</v>
      </c>
      <c r="B875" s="3">
        <v>45800</v>
      </c>
      <c r="C875" s="2" t="s">
        <v>13</v>
      </c>
      <c r="D875" s="2" t="s">
        <v>22</v>
      </c>
      <c r="E875" s="2" t="s">
        <v>9</v>
      </c>
      <c r="F875" s="2"/>
      <c r="G875" s="2"/>
    </row>
    <row r="876" spans="1:7">
      <c r="A876" s="2" t="s">
        <v>893</v>
      </c>
      <c r="B876" s="3">
        <v>45801</v>
      </c>
      <c r="C876" s="2" t="s">
        <v>13</v>
      </c>
      <c r="D876" s="2" t="s">
        <v>11</v>
      </c>
      <c r="E876" s="2" t="s">
        <v>9</v>
      </c>
      <c r="F876" s="2">
        <v>289.23</v>
      </c>
      <c r="G876" s="2">
        <v>-5.37</v>
      </c>
    </row>
    <row r="877" spans="1:7">
      <c r="A877" s="2" t="s">
        <v>894</v>
      </c>
      <c r="B877" s="3">
        <v>45802</v>
      </c>
      <c r="C877" s="2" t="s">
        <v>11</v>
      </c>
      <c r="D877" s="2" t="s">
        <v>18</v>
      </c>
      <c r="E877" s="2">
        <v>66.33</v>
      </c>
      <c r="F877" s="2">
        <v>-148.66</v>
      </c>
      <c r="G877" s="4"/>
    </row>
    <row r="878" spans="1:7">
      <c r="A878" s="2" t="s">
        <v>895</v>
      </c>
      <c r="B878" s="3">
        <v>45803</v>
      </c>
      <c r="C878" s="2" t="s">
        <v>13</v>
      </c>
      <c r="D878" s="2" t="s">
        <v>11</v>
      </c>
      <c r="E878" s="2" t="s">
        <v>14</v>
      </c>
      <c r="F878" s="2"/>
      <c r="G878" s="2"/>
    </row>
    <row r="879" spans="1:7">
      <c r="A879" s="2" t="s">
        <v>896</v>
      </c>
      <c r="B879" s="3">
        <v>45804</v>
      </c>
      <c r="C879" s="2" t="s">
        <v>27</v>
      </c>
      <c r="D879" s="2" t="s">
        <v>22</v>
      </c>
      <c r="E879" s="2"/>
      <c r="F879" s="2">
        <v>765.3</v>
      </c>
      <c r="G879" s="2"/>
    </row>
    <row r="880" spans="1:7">
      <c r="A880" s="2" t="s">
        <v>897</v>
      </c>
      <c r="B880" s="3">
        <v>45805</v>
      </c>
      <c r="C880" s="2" t="s">
        <v>16</v>
      </c>
      <c r="D880" s="2"/>
      <c r="E880" s="2" t="s">
        <v>9</v>
      </c>
      <c r="F880" s="2">
        <v>958.04</v>
      </c>
      <c r="G880" s="2">
        <v>16.82</v>
      </c>
    </row>
    <row r="881" spans="1:7">
      <c r="A881" s="2" t="s">
        <v>898</v>
      </c>
      <c r="B881" s="3">
        <v>45806</v>
      </c>
      <c r="C881" s="2" t="s">
        <v>16</v>
      </c>
      <c r="D881" s="2" t="s">
        <v>8</v>
      </c>
      <c r="E881" s="2" t="s">
        <v>18</v>
      </c>
      <c r="F881" s="2"/>
      <c r="G881" s="2"/>
    </row>
    <row r="882" spans="1:7">
      <c r="A882" s="2" t="s">
        <v>899</v>
      </c>
      <c r="B882" s="3">
        <v>45807</v>
      </c>
      <c r="C882" s="2" t="s">
        <v>21</v>
      </c>
      <c r="D882" s="2" t="s">
        <v>22</v>
      </c>
      <c r="E882" s="2" t="s">
        <v>32</v>
      </c>
      <c r="F882" s="2"/>
      <c r="G882" s="2">
        <v>84.57</v>
      </c>
    </row>
    <row r="883" spans="1:7">
      <c r="A883" s="2" t="s">
        <v>900</v>
      </c>
      <c r="B883" s="3">
        <v>45808</v>
      </c>
      <c r="C883" s="2" t="s">
        <v>13</v>
      </c>
      <c r="D883" s="2" t="s">
        <v>8</v>
      </c>
      <c r="E883" s="2">
        <v>959.11</v>
      </c>
      <c r="F883" s="2"/>
      <c r="G883" s="4"/>
    </row>
    <row r="884" spans="1:7">
      <c r="A884" s="2" t="s">
        <v>901</v>
      </c>
      <c r="B884" s="3">
        <v>45809</v>
      </c>
      <c r="C884" s="2" t="s">
        <v>8</v>
      </c>
      <c r="D884" s="2" t="s">
        <v>18</v>
      </c>
      <c r="E884" s="2"/>
      <c r="F884" s="2">
        <v>-141.71</v>
      </c>
      <c r="G884" s="4"/>
    </row>
    <row r="885" spans="1:7">
      <c r="A885" s="2" t="s">
        <v>902</v>
      </c>
      <c r="B885" s="3">
        <v>45810</v>
      </c>
      <c r="C885" s="2" t="s">
        <v>16</v>
      </c>
      <c r="D885" s="2" t="s">
        <v>22</v>
      </c>
      <c r="E885" s="2"/>
      <c r="F885" s="2"/>
      <c r="G885" s="2">
        <v>-125.18</v>
      </c>
    </row>
    <row r="886" spans="1:7">
      <c r="A886" s="2" t="s">
        <v>903</v>
      </c>
      <c r="B886" s="3">
        <v>45811</v>
      </c>
      <c r="C886" s="2" t="s">
        <v>13</v>
      </c>
      <c r="D886" s="2"/>
      <c r="E886" s="2" t="s">
        <v>18</v>
      </c>
      <c r="F886" s="2">
        <v>849.98</v>
      </c>
      <c r="G886" s="2"/>
    </row>
    <row r="887" spans="1:7">
      <c r="A887" s="2" t="s">
        <v>904</v>
      </c>
      <c r="B887" s="3">
        <v>45812</v>
      </c>
      <c r="C887" s="2" t="s">
        <v>11</v>
      </c>
      <c r="D887" s="2"/>
      <c r="E887" s="2">
        <v>343.94</v>
      </c>
      <c r="F887" s="2">
        <v>-40.15</v>
      </c>
      <c r="G887" s="4"/>
    </row>
    <row r="888" spans="1:7">
      <c r="A888" s="2" t="s">
        <v>905</v>
      </c>
      <c r="B888" s="3">
        <v>45813</v>
      </c>
      <c r="C888" s="2" t="s">
        <v>16</v>
      </c>
      <c r="D888" s="2" t="s">
        <v>8</v>
      </c>
      <c r="E888" s="2"/>
      <c r="F888" s="2"/>
      <c r="G888" s="4"/>
    </row>
    <row r="889" spans="1:7">
      <c r="A889" s="2" t="s">
        <v>906</v>
      </c>
      <c r="B889" s="3">
        <v>45814</v>
      </c>
      <c r="C889" s="2" t="s">
        <v>21</v>
      </c>
      <c r="D889" s="2" t="s">
        <v>8</v>
      </c>
      <c r="E889" s="2" t="s">
        <v>32</v>
      </c>
      <c r="F889" s="2"/>
      <c r="G889" s="2"/>
    </row>
    <row r="890" spans="1:7">
      <c r="A890" s="2" t="s">
        <v>907</v>
      </c>
      <c r="B890" s="3">
        <v>45815</v>
      </c>
      <c r="C890" s="2" t="s">
        <v>13</v>
      </c>
      <c r="D890" s="2"/>
      <c r="E890" s="2" t="s">
        <v>14</v>
      </c>
      <c r="F890" s="2"/>
      <c r="G890" s="2">
        <v>182.88</v>
      </c>
    </row>
    <row r="891" spans="1:7">
      <c r="A891" s="2" t="s">
        <v>908</v>
      </c>
      <c r="B891" s="3">
        <v>45816</v>
      </c>
      <c r="C891" s="2" t="s">
        <v>21</v>
      </c>
      <c r="D891" s="2"/>
      <c r="E891" s="2" t="s">
        <v>14</v>
      </c>
      <c r="F891" s="2">
        <v>346.52</v>
      </c>
      <c r="G891" s="2"/>
    </row>
    <row r="892" spans="1:7">
      <c r="A892" s="2" t="s">
        <v>909</v>
      </c>
      <c r="B892" s="3">
        <v>45817</v>
      </c>
      <c r="C892" s="2" t="s">
        <v>27</v>
      </c>
      <c r="D892" s="2" t="s">
        <v>22</v>
      </c>
      <c r="E892" s="2" t="s">
        <v>14</v>
      </c>
      <c r="F892" s="2">
        <v>799.5</v>
      </c>
      <c r="G892" s="2">
        <v>-106.29</v>
      </c>
    </row>
    <row r="893" spans="1:7">
      <c r="A893" s="2" t="s">
        <v>910</v>
      </c>
      <c r="B893" s="3">
        <v>45818</v>
      </c>
      <c r="C893" s="2" t="s">
        <v>11</v>
      </c>
      <c r="D893" s="2"/>
      <c r="E893" s="2"/>
      <c r="F893" s="2"/>
      <c r="G893" s="4"/>
    </row>
    <row r="894" spans="1:7">
      <c r="A894" s="2" t="s">
        <v>911</v>
      </c>
      <c r="B894" s="3">
        <v>45819</v>
      </c>
      <c r="C894" s="2" t="s">
        <v>27</v>
      </c>
      <c r="D894" s="2" t="s">
        <v>11</v>
      </c>
      <c r="E894" s="2" t="s">
        <v>24</v>
      </c>
      <c r="F894" s="2">
        <v>144.54</v>
      </c>
      <c r="G894" s="2">
        <v>261.35000000000002</v>
      </c>
    </row>
    <row r="895" spans="1:7">
      <c r="A895" s="2" t="s">
        <v>912</v>
      </c>
      <c r="B895" s="3">
        <v>45820</v>
      </c>
      <c r="C895" s="2" t="s">
        <v>21</v>
      </c>
      <c r="D895" s="2" t="s">
        <v>22</v>
      </c>
      <c r="E895" s="2"/>
      <c r="F895" s="2"/>
      <c r="G895" s="2">
        <v>15.1</v>
      </c>
    </row>
    <row r="896" spans="1:7">
      <c r="A896" s="2" t="s">
        <v>913</v>
      </c>
      <c r="B896" s="3">
        <v>45821</v>
      </c>
      <c r="C896" s="2" t="s">
        <v>13</v>
      </c>
      <c r="D896" s="2"/>
      <c r="E896" s="2" t="s">
        <v>9</v>
      </c>
      <c r="F896" s="2"/>
      <c r="G896" s="2"/>
    </row>
    <row r="897" spans="1:7">
      <c r="A897" s="2" t="s">
        <v>914</v>
      </c>
      <c r="B897" s="3">
        <v>45822</v>
      </c>
      <c r="C897" s="2" t="s">
        <v>21</v>
      </c>
      <c r="D897" s="2" t="s">
        <v>8</v>
      </c>
      <c r="E897" s="2">
        <v>402.87</v>
      </c>
      <c r="F897" s="2">
        <v>137.66999999999999</v>
      </c>
      <c r="G897" s="4"/>
    </row>
    <row r="898" spans="1:7">
      <c r="A898" s="2" t="s">
        <v>915</v>
      </c>
      <c r="B898" s="3">
        <v>45823</v>
      </c>
      <c r="C898" s="2" t="s">
        <v>16</v>
      </c>
      <c r="D898" s="2" t="s">
        <v>8</v>
      </c>
      <c r="E898" s="2" t="s">
        <v>14</v>
      </c>
      <c r="F898" s="2"/>
      <c r="G898" s="2">
        <v>-145.41</v>
      </c>
    </row>
    <row r="899" spans="1:7">
      <c r="A899" s="2" t="s">
        <v>916</v>
      </c>
      <c r="B899" s="3">
        <v>45824</v>
      </c>
      <c r="C899" s="2" t="s">
        <v>16</v>
      </c>
      <c r="D899" s="2" t="s">
        <v>11</v>
      </c>
      <c r="E899" s="2"/>
      <c r="F899" s="2">
        <v>264.02</v>
      </c>
      <c r="G899" s="2"/>
    </row>
    <row r="900" spans="1:7">
      <c r="A900" s="2" t="s">
        <v>917</v>
      </c>
      <c r="B900" s="3">
        <v>45825</v>
      </c>
      <c r="C900" s="2" t="s">
        <v>27</v>
      </c>
      <c r="D900" s="2" t="s">
        <v>8</v>
      </c>
      <c r="E900" s="2" t="s">
        <v>14</v>
      </c>
      <c r="F900" s="2">
        <v>572.73</v>
      </c>
      <c r="G900" s="2"/>
    </row>
    <row r="901" spans="1:7">
      <c r="A901" s="2" t="s">
        <v>918</v>
      </c>
      <c r="B901" s="3">
        <v>45826</v>
      </c>
      <c r="C901" s="2"/>
      <c r="D901" s="2" t="s">
        <v>14</v>
      </c>
      <c r="E901" s="2">
        <v>680.24</v>
      </c>
      <c r="F901" s="2">
        <v>-47.43</v>
      </c>
      <c r="G901" s="4"/>
    </row>
    <row r="902" spans="1:7">
      <c r="A902" s="2" t="s">
        <v>919</v>
      </c>
      <c r="B902" s="3">
        <v>45827</v>
      </c>
      <c r="C902" s="2" t="s">
        <v>21</v>
      </c>
      <c r="D902" s="2"/>
      <c r="E902" s="2" t="s">
        <v>18</v>
      </c>
      <c r="F902" s="2"/>
      <c r="G902" s="2"/>
    </row>
    <row r="903" spans="1:7">
      <c r="A903" s="2" t="s">
        <v>920</v>
      </c>
      <c r="B903" s="3">
        <v>45828</v>
      </c>
      <c r="C903" s="2" t="s">
        <v>16</v>
      </c>
      <c r="D903" s="2" t="s">
        <v>22</v>
      </c>
      <c r="E903" s="2" t="s">
        <v>18</v>
      </c>
      <c r="F903" s="2">
        <v>661.2</v>
      </c>
      <c r="G903" s="2"/>
    </row>
    <row r="904" spans="1:7">
      <c r="A904" s="2" t="s">
        <v>921</v>
      </c>
      <c r="B904" s="3">
        <v>45829</v>
      </c>
      <c r="C904" s="2" t="s">
        <v>27</v>
      </c>
      <c r="D904" s="2" t="s">
        <v>22</v>
      </c>
      <c r="E904" s="2"/>
      <c r="F904" s="2">
        <v>855.19</v>
      </c>
      <c r="G904" s="2">
        <v>-140.6</v>
      </c>
    </row>
    <row r="905" spans="1:7">
      <c r="A905" s="2" t="s">
        <v>922</v>
      </c>
      <c r="B905" s="3">
        <v>45830</v>
      </c>
      <c r="C905" s="2" t="s">
        <v>16</v>
      </c>
      <c r="D905" s="2"/>
      <c r="E905" s="2" t="s">
        <v>18</v>
      </c>
      <c r="F905" s="2">
        <v>641.36</v>
      </c>
      <c r="G905" s="2"/>
    </row>
    <row r="906" spans="1:7">
      <c r="A906" s="2" t="s">
        <v>923</v>
      </c>
      <c r="B906" s="3">
        <v>45831</v>
      </c>
      <c r="C906" s="2" t="s">
        <v>16</v>
      </c>
      <c r="D906" s="2"/>
      <c r="E906" s="2" t="s">
        <v>14</v>
      </c>
      <c r="F906" s="2"/>
      <c r="G906" s="2"/>
    </row>
    <row r="907" spans="1:7">
      <c r="A907" s="2" t="s">
        <v>924</v>
      </c>
      <c r="B907" s="3">
        <v>45832</v>
      </c>
      <c r="C907" s="2"/>
      <c r="D907" s="2" t="s">
        <v>32</v>
      </c>
      <c r="E907" s="2"/>
      <c r="F907" s="2">
        <v>169.48</v>
      </c>
      <c r="G907" s="4"/>
    </row>
    <row r="908" spans="1:7">
      <c r="A908" s="2" t="s">
        <v>925</v>
      </c>
      <c r="B908" s="3">
        <v>45833</v>
      </c>
      <c r="C908" s="2" t="s">
        <v>21</v>
      </c>
      <c r="D908" s="2" t="s">
        <v>8</v>
      </c>
      <c r="E908" s="2" t="s">
        <v>18</v>
      </c>
      <c r="F908" s="2"/>
      <c r="G908" s="2">
        <v>214.95</v>
      </c>
    </row>
    <row r="909" spans="1:7">
      <c r="A909" s="2" t="s">
        <v>926</v>
      </c>
      <c r="B909" s="3">
        <v>45834</v>
      </c>
      <c r="C909" s="2" t="s">
        <v>13</v>
      </c>
      <c r="D909" s="2" t="s">
        <v>11</v>
      </c>
      <c r="E909" s="2" t="s">
        <v>18</v>
      </c>
      <c r="F909" s="2"/>
      <c r="G909" s="2"/>
    </row>
    <row r="910" spans="1:7">
      <c r="A910" s="2" t="s">
        <v>927</v>
      </c>
      <c r="B910" s="3">
        <v>45835</v>
      </c>
      <c r="C910" s="2" t="s">
        <v>16</v>
      </c>
      <c r="D910" s="2"/>
      <c r="E910" s="2" t="s">
        <v>14</v>
      </c>
      <c r="F910" s="2">
        <v>457.73</v>
      </c>
      <c r="G910" s="2"/>
    </row>
    <row r="911" spans="1:7">
      <c r="A911" s="2" t="s">
        <v>928</v>
      </c>
      <c r="B911" s="3">
        <v>45836</v>
      </c>
      <c r="C911" s="2" t="s">
        <v>16</v>
      </c>
      <c r="D911" s="2" t="s">
        <v>11</v>
      </c>
      <c r="E911" s="2" t="s">
        <v>14</v>
      </c>
      <c r="F911" s="2"/>
      <c r="G911" s="2">
        <v>148.62</v>
      </c>
    </row>
    <row r="912" spans="1:7">
      <c r="A912" s="2" t="s">
        <v>929</v>
      </c>
      <c r="B912" s="3">
        <v>45837</v>
      </c>
      <c r="C912" s="2" t="s">
        <v>21</v>
      </c>
      <c r="D912" s="2" t="s">
        <v>11</v>
      </c>
      <c r="E912" s="2" t="s">
        <v>9</v>
      </c>
      <c r="F912" s="2">
        <v>505.98</v>
      </c>
      <c r="G912" s="2"/>
    </row>
    <row r="913" spans="1:7">
      <c r="A913" s="2" t="s">
        <v>930</v>
      </c>
      <c r="B913" s="3">
        <v>45838</v>
      </c>
      <c r="C913" s="2" t="s">
        <v>21</v>
      </c>
      <c r="D913" s="2"/>
      <c r="E913" s="2" t="s">
        <v>24</v>
      </c>
      <c r="F913" s="2">
        <v>665.56</v>
      </c>
      <c r="G913" s="2"/>
    </row>
    <row r="914" spans="1:7">
      <c r="A914" s="2" t="s">
        <v>931</v>
      </c>
      <c r="B914" s="3">
        <v>45839</v>
      </c>
      <c r="C914" s="2" t="s">
        <v>21</v>
      </c>
      <c r="D914" s="2" t="s">
        <v>8</v>
      </c>
      <c r="E914" s="2" t="s">
        <v>18</v>
      </c>
      <c r="F914" s="2">
        <v>939.11</v>
      </c>
      <c r="G914" s="2"/>
    </row>
    <row r="915" spans="1:7">
      <c r="A915" s="2" t="s">
        <v>932</v>
      </c>
      <c r="B915" s="3">
        <v>45840</v>
      </c>
      <c r="C915" s="2" t="s">
        <v>16</v>
      </c>
      <c r="D915" s="2"/>
      <c r="E915" s="2" t="s">
        <v>9</v>
      </c>
      <c r="F915" s="2">
        <v>493.27</v>
      </c>
      <c r="G915" s="2"/>
    </row>
    <row r="916" spans="1:7">
      <c r="A916" s="2" t="s">
        <v>933</v>
      </c>
      <c r="B916" s="3">
        <v>45841</v>
      </c>
      <c r="C916" s="2" t="s">
        <v>21</v>
      </c>
      <c r="D916" s="2" t="s">
        <v>22</v>
      </c>
      <c r="E916" s="2" t="s">
        <v>18</v>
      </c>
      <c r="F916" s="2"/>
      <c r="G916" s="2">
        <v>38.799999999999997</v>
      </c>
    </row>
    <row r="917" spans="1:7">
      <c r="A917" s="2" t="s">
        <v>934</v>
      </c>
      <c r="B917" s="3">
        <v>45842</v>
      </c>
      <c r="C917" s="2" t="s">
        <v>16</v>
      </c>
      <c r="D917" s="2" t="s">
        <v>22</v>
      </c>
      <c r="E917" s="2" t="s">
        <v>14</v>
      </c>
      <c r="F917" s="2">
        <v>115.18</v>
      </c>
      <c r="G917" s="2">
        <v>6.86</v>
      </c>
    </row>
    <row r="918" spans="1:7">
      <c r="A918" s="2" t="s">
        <v>935</v>
      </c>
      <c r="B918" s="3">
        <v>45843</v>
      </c>
      <c r="C918" s="2" t="s">
        <v>21</v>
      </c>
      <c r="D918" s="2" t="s">
        <v>22</v>
      </c>
      <c r="E918" s="2"/>
      <c r="F918" s="2"/>
      <c r="G918" s="2"/>
    </row>
    <row r="919" spans="1:7">
      <c r="A919" s="2" t="s">
        <v>936</v>
      </c>
      <c r="B919" s="3">
        <v>45844</v>
      </c>
      <c r="C919" s="2" t="s">
        <v>16</v>
      </c>
      <c r="D919" s="2"/>
      <c r="E919" s="2" t="s">
        <v>18</v>
      </c>
      <c r="F919" s="2"/>
      <c r="G919" s="2"/>
    </row>
    <row r="920" spans="1:7">
      <c r="A920" s="2" t="s">
        <v>937</v>
      </c>
      <c r="B920" s="3">
        <v>45845</v>
      </c>
      <c r="C920" s="2" t="s">
        <v>16</v>
      </c>
      <c r="D920" s="2" t="s">
        <v>11</v>
      </c>
      <c r="E920" s="2" t="s">
        <v>18</v>
      </c>
      <c r="F920" s="2"/>
      <c r="G920" s="2">
        <v>132.37</v>
      </c>
    </row>
    <row r="921" spans="1:7">
      <c r="A921" s="2" t="s">
        <v>938</v>
      </c>
      <c r="B921" s="3">
        <v>45846</v>
      </c>
      <c r="C921" s="2" t="s">
        <v>21</v>
      </c>
      <c r="D921" s="2" t="s">
        <v>8</v>
      </c>
      <c r="E921" s="2">
        <v>742.5</v>
      </c>
      <c r="F921" s="2">
        <v>-16.739999999999998</v>
      </c>
      <c r="G921" s="4"/>
    </row>
    <row r="922" spans="1:7">
      <c r="A922" s="2" t="s">
        <v>939</v>
      </c>
      <c r="B922" s="3">
        <v>45847</v>
      </c>
      <c r="C922" s="2" t="s">
        <v>13</v>
      </c>
      <c r="D922" s="2" t="s">
        <v>11</v>
      </c>
      <c r="E922" s="2" t="s">
        <v>32</v>
      </c>
      <c r="F922" s="2">
        <v>669.82</v>
      </c>
      <c r="G922" s="2"/>
    </row>
    <row r="923" spans="1:7">
      <c r="A923" s="2" t="s">
        <v>940</v>
      </c>
      <c r="B923" s="3">
        <v>45848</v>
      </c>
      <c r="C923" s="2" t="s">
        <v>13</v>
      </c>
      <c r="D923" s="2" t="s">
        <v>22</v>
      </c>
      <c r="E923" s="2" t="s">
        <v>9</v>
      </c>
      <c r="F923" s="2"/>
      <c r="G923" s="2"/>
    </row>
    <row r="924" spans="1:7">
      <c r="A924" s="2" t="s">
        <v>941</v>
      </c>
      <c r="B924" s="3">
        <v>45849</v>
      </c>
      <c r="C924" s="2" t="s">
        <v>27</v>
      </c>
      <c r="D924" s="2" t="s">
        <v>22</v>
      </c>
      <c r="E924" s="2" t="s">
        <v>24</v>
      </c>
      <c r="F924" s="2"/>
      <c r="G924" s="2"/>
    </row>
    <row r="925" spans="1:7">
      <c r="A925" s="2" t="s">
        <v>942</v>
      </c>
      <c r="B925" s="3">
        <v>45850</v>
      </c>
      <c r="C925" s="2" t="s">
        <v>22</v>
      </c>
      <c r="D925" s="2" t="s">
        <v>32</v>
      </c>
      <c r="E925" s="2"/>
      <c r="F925" s="2">
        <v>7.43</v>
      </c>
      <c r="G925" s="4"/>
    </row>
    <row r="926" spans="1:7">
      <c r="A926" s="2" t="s">
        <v>943</v>
      </c>
      <c r="B926" s="3">
        <v>45851</v>
      </c>
      <c r="C926" s="2" t="s">
        <v>11</v>
      </c>
      <c r="D926" s="2" t="s">
        <v>18</v>
      </c>
      <c r="E926" s="2"/>
      <c r="F926" s="2"/>
      <c r="G926" s="4"/>
    </row>
    <row r="927" spans="1:7">
      <c r="A927" s="2" t="s">
        <v>944</v>
      </c>
      <c r="B927" s="3">
        <v>45852</v>
      </c>
      <c r="C927" s="2" t="s">
        <v>21</v>
      </c>
      <c r="D927" s="2" t="s">
        <v>11</v>
      </c>
      <c r="E927" s="2" t="s">
        <v>14</v>
      </c>
      <c r="F927" s="2"/>
      <c r="G927" s="2">
        <v>217.25</v>
      </c>
    </row>
    <row r="928" spans="1:7">
      <c r="A928" s="2" t="s">
        <v>945</v>
      </c>
      <c r="B928" s="3">
        <v>45853</v>
      </c>
      <c r="C928" s="2" t="s">
        <v>16</v>
      </c>
      <c r="D928" s="2" t="s">
        <v>8</v>
      </c>
      <c r="E928" s="2" t="s">
        <v>14</v>
      </c>
      <c r="F928" s="2"/>
      <c r="G928" s="2"/>
    </row>
    <row r="929" spans="1:7">
      <c r="A929" s="2" t="s">
        <v>946</v>
      </c>
      <c r="B929" s="3">
        <v>45854</v>
      </c>
      <c r="C929" s="2" t="s">
        <v>11</v>
      </c>
      <c r="D929" s="2" t="s">
        <v>9</v>
      </c>
      <c r="E929" s="2">
        <v>875.67</v>
      </c>
      <c r="F929" s="2">
        <v>57.66</v>
      </c>
      <c r="G929" s="4"/>
    </row>
    <row r="930" spans="1:7">
      <c r="A930" s="2" t="s">
        <v>947</v>
      </c>
      <c r="B930" s="3">
        <v>45855</v>
      </c>
      <c r="C930" s="2" t="s">
        <v>21</v>
      </c>
      <c r="D930" s="2" t="s">
        <v>11</v>
      </c>
      <c r="E930" s="2"/>
      <c r="F930" s="2">
        <v>878.74</v>
      </c>
      <c r="G930" s="2">
        <v>176.3</v>
      </c>
    </row>
    <row r="931" spans="1:7">
      <c r="A931" s="2" t="s">
        <v>948</v>
      </c>
      <c r="B931" s="3">
        <v>45856</v>
      </c>
      <c r="C931" s="2" t="s">
        <v>13</v>
      </c>
      <c r="D931" s="2" t="s">
        <v>11</v>
      </c>
      <c r="E931" s="2" t="s">
        <v>18</v>
      </c>
      <c r="F931" s="2"/>
      <c r="G931" s="2">
        <v>-181.84</v>
      </c>
    </row>
    <row r="932" spans="1:7">
      <c r="A932" s="2" t="s">
        <v>949</v>
      </c>
      <c r="B932" s="3">
        <v>45857</v>
      </c>
      <c r="C932" s="2" t="s">
        <v>13</v>
      </c>
      <c r="D932" s="2" t="s">
        <v>22</v>
      </c>
      <c r="E932" s="2" t="s">
        <v>18</v>
      </c>
      <c r="F932" s="2"/>
      <c r="G932" s="2">
        <v>67.239999999999995</v>
      </c>
    </row>
    <row r="933" spans="1:7">
      <c r="A933" s="2" t="s">
        <v>950</v>
      </c>
      <c r="B933" s="3">
        <v>45858</v>
      </c>
      <c r="C933" s="2" t="s">
        <v>13</v>
      </c>
      <c r="D933" s="2" t="s">
        <v>11</v>
      </c>
      <c r="E933" s="2" t="s">
        <v>24</v>
      </c>
      <c r="F933" s="2"/>
      <c r="G933" s="2">
        <v>174.47</v>
      </c>
    </row>
    <row r="934" spans="1:7">
      <c r="A934" s="2" t="s">
        <v>951</v>
      </c>
      <c r="B934" s="3">
        <v>45859</v>
      </c>
      <c r="C934" s="2" t="s">
        <v>27</v>
      </c>
      <c r="D934" s="2" t="s">
        <v>8</v>
      </c>
      <c r="E934" s="2"/>
      <c r="F934" s="2">
        <v>104.78</v>
      </c>
      <c r="G934" s="4"/>
    </row>
    <row r="935" spans="1:7">
      <c r="A935" s="2" t="s">
        <v>952</v>
      </c>
      <c r="B935" s="3">
        <v>45860</v>
      </c>
      <c r="C935" s="2" t="s">
        <v>11</v>
      </c>
      <c r="D935" s="2" t="s">
        <v>24</v>
      </c>
      <c r="E935" s="2"/>
      <c r="F935" s="2"/>
      <c r="G935" s="4"/>
    </row>
    <row r="936" spans="1:7">
      <c r="A936" s="2" t="s">
        <v>953</v>
      </c>
      <c r="B936" s="3">
        <v>45861</v>
      </c>
      <c r="C936" s="2" t="s">
        <v>21</v>
      </c>
      <c r="D936" s="2" t="s">
        <v>22</v>
      </c>
      <c r="E936" s="2" t="s">
        <v>32</v>
      </c>
      <c r="F936" s="2">
        <v>717.44</v>
      </c>
      <c r="G936" s="2"/>
    </row>
    <row r="937" spans="1:7">
      <c r="A937" s="2" t="s">
        <v>954</v>
      </c>
      <c r="B937" s="3">
        <v>45862</v>
      </c>
      <c r="C937" s="2" t="s">
        <v>16</v>
      </c>
      <c r="D937" s="2"/>
      <c r="E937" s="2" t="s">
        <v>9</v>
      </c>
      <c r="F937" s="2"/>
      <c r="G937" s="2"/>
    </row>
    <row r="938" spans="1:7">
      <c r="A938" s="2" t="s">
        <v>955</v>
      </c>
      <c r="B938" s="3">
        <v>45863</v>
      </c>
      <c r="C938" s="2" t="s">
        <v>21</v>
      </c>
      <c r="D938" s="2"/>
      <c r="E938" s="2" t="s">
        <v>24</v>
      </c>
      <c r="F938" s="2">
        <v>508.13</v>
      </c>
      <c r="G938" s="2">
        <v>210.48</v>
      </c>
    </row>
    <row r="939" spans="1:7">
      <c r="A939" s="2" t="s">
        <v>956</v>
      </c>
      <c r="B939" s="3">
        <v>45864</v>
      </c>
      <c r="C939" s="2" t="s">
        <v>11</v>
      </c>
      <c r="D939" s="2" t="s">
        <v>9</v>
      </c>
      <c r="E939" s="2"/>
      <c r="F939" s="2">
        <v>204</v>
      </c>
      <c r="G939" s="4"/>
    </row>
    <row r="940" spans="1:7">
      <c r="A940" s="2" t="s">
        <v>957</v>
      </c>
      <c r="B940" s="3">
        <v>45865</v>
      </c>
      <c r="C940" s="2" t="s">
        <v>13</v>
      </c>
      <c r="D940" s="2"/>
      <c r="E940" s="2" t="s">
        <v>24</v>
      </c>
      <c r="F940" s="2"/>
      <c r="G940" s="2">
        <v>-73.41</v>
      </c>
    </row>
    <row r="941" spans="1:7">
      <c r="A941" s="2" t="s">
        <v>958</v>
      </c>
      <c r="B941" s="3">
        <v>45866</v>
      </c>
      <c r="C941" s="2" t="s">
        <v>27</v>
      </c>
      <c r="D941" s="2" t="s">
        <v>8</v>
      </c>
      <c r="E941" s="2" t="s">
        <v>18</v>
      </c>
      <c r="F941" s="2">
        <v>373.74</v>
      </c>
      <c r="G941" s="2">
        <v>102.48</v>
      </c>
    </row>
    <row r="942" spans="1:7">
      <c r="A942" s="2" t="s">
        <v>959</v>
      </c>
      <c r="B942" s="3">
        <v>45867</v>
      </c>
      <c r="C942" s="2" t="s">
        <v>13</v>
      </c>
      <c r="D942" s="2"/>
      <c r="E942" s="2"/>
      <c r="F942" s="2"/>
      <c r="G942" s="2"/>
    </row>
    <row r="943" spans="1:7">
      <c r="A943" s="2" t="s">
        <v>960</v>
      </c>
      <c r="B943" s="3">
        <v>45868</v>
      </c>
      <c r="C943" s="2" t="s">
        <v>27</v>
      </c>
      <c r="D943" s="2" t="s">
        <v>11</v>
      </c>
      <c r="E943" s="2" t="s">
        <v>18</v>
      </c>
      <c r="F943" s="2"/>
      <c r="G943" s="2"/>
    </row>
    <row r="944" spans="1:7">
      <c r="A944" s="2" t="s">
        <v>961</v>
      </c>
      <c r="B944" s="3">
        <v>45869</v>
      </c>
      <c r="C944" s="2" t="s">
        <v>16</v>
      </c>
      <c r="D944" s="2"/>
      <c r="E944" s="2"/>
      <c r="F944" s="2">
        <v>458.13</v>
      </c>
      <c r="G944" s="2"/>
    </row>
    <row r="945" spans="1:7">
      <c r="A945" s="2" t="s">
        <v>962</v>
      </c>
      <c r="B945" s="3">
        <v>45870</v>
      </c>
      <c r="C945" s="2" t="s">
        <v>21</v>
      </c>
      <c r="D945" s="2"/>
      <c r="E945" s="2" t="s">
        <v>32</v>
      </c>
      <c r="F945" s="2">
        <v>294.45999999999998</v>
      </c>
      <c r="G945" s="2"/>
    </row>
    <row r="946" spans="1:7">
      <c r="A946" s="2" t="s">
        <v>963</v>
      </c>
      <c r="B946" s="3">
        <v>45871</v>
      </c>
      <c r="C946" s="2" t="s">
        <v>16</v>
      </c>
      <c r="D946" s="2" t="s">
        <v>11</v>
      </c>
      <c r="E946" s="2" t="s">
        <v>9</v>
      </c>
      <c r="F946" s="2">
        <v>825.4</v>
      </c>
      <c r="G946" s="2">
        <v>-130.56</v>
      </c>
    </row>
    <row r="947" spans="1:7">
      <c r="A947" s="2" t="s">
        <v>964</v>
      </c>
      <c r="B947" s="3">
        <v>45872</v>
      </c>
      <c r="C947" s="2"/>
      <c r="D947" s="2" t="s">
        <v>24</v>
      </c>
      <c r="E947" s="2">
        <v>913.39</v>
      </c>
      <c r="F947" s="2"/>
      <c r="G947" s="4"/>
    </row>
    <row r="948" spans="1:7">
      <c r="A948" s="2" t="s">
        <v>965</v>
      </c>
      <c r="B948" s="3">
        <v>45873</v>
      </c>
      <c r="C948" s="2" t="s">
        <v>13</v>
      </c>
      <c r="D948" s="2" t="s">
        <v>22</v>
      </c>
      <c r="E948" s="2" t="s">
        <v>24</v>
      </c>
      <c r="F948" s="2"/>
      <c r="G948" s="2"/>
    </row>
    <row r="949" spans="1:7">
      <c r="A949" s="2" t="s">
        <v>966</v>
      </c>
      <c r="B949" s="3">
        <v>45874</v>
      </c>
      <c r="C949" s="2" t="s">
        <v>8</v>
      </c>
      <c r="D949" s="2" t="s">
        <v>32</v>
      </c>
      <c r="E949" s="2">
        <v>429.42</v>
      </c>
      <c r="F949" s="2">
        <v>243.32</v>
      </c>
      <c r="G949" s="4"/>
    </row>
    <row r="950" spans="1:7">
      <c r="A950" s="2" t="s">
        <v>967</v>
      </c>
      <c r="B950" s="3">
        <v>45875</v>
      </c>
      <c r="C950" s="2" t="s">
        <v>16</v>
      </c>
      <c r="D950" s="2" t="s">
        <v>8</v>
      </c>
      <c r="E950" s="2" t="s">
        <v>18</v>
      </c>
      <c r="F950" s="2"/>
      <c r="G950" s="2">
        <v>203.99</v>
      </c>
    </row>
    <row r="951" spans="1:7">
      <c r="A951" s="2" t="s">
        <v>968</v>
      </c>
      <c r="B951" s="3">
        <v>45876</v>
      </c>
      <c r="C951" s="2" t="s">
        <v>16</v>
      </c>
      <c r="D951" s="2"/>
      <c r="E951" s="2" t="s">
        <v>9</v>
      </c>
      <c r="F951" s="2">
        <v>572.15</v>
      </c>
      <c r="G951" s="2"/>
    </row>
    <row r="952" spans="1:7">
      <c r="A952" s="2" t="s">
        <v>969</v>
      </c>
      <c r="B952" s="3">
        <v>45877</v>
      </c>
      <c r="C952" s="2" t="s">
        <v>16</v>
      </c>
      <c r="D952" s="2" t="s">
        <v>22</v>
      </c>
      <c r="E952" s="2" t="s">
        <v>24</v>
      </c>
      <c r="F952" s="2"/>
      <c r="G952" s="2">
        <v>-184.53</v>
      </c>
    </row>
    <row r="953" spans="1:7">
      <c r="A953" s="2" t="s">
        <v>970</v>
      </c>
      <c r="B953" s="3">
        <v>45878</v>
      </c>
      <c r="C953" s="2" t="s">
        <v>27</v>
      </c>
      <c r="D953" s="2" t="s">
        <v>8</v>
      </c>
      <c r="E953" s="2" t="s">
        <v>32</v>
      </c>
      <c r="F953" s="2"/>
      <c r="G953" s="2">
        <v>68.180000000000007</v>
      </c>
    </row>
    <row r="954" spans="1:7">
      <c r="A954" s="2" t="s">
        <v>971</v>
      </c>
      <c r="B954" s="3">
        <v>45879</v>
      </c>
      <c r="C954" s="2" t="s">
        <v>27</v>
      </c>
      <c r="D954" s="2"/>
      <c r="E954" s="2" t="s">
        <v>14</v>
      </c>
      <c r="F954" s="2"/>
      <c r="G954" s="2">
        <v>36.21</v>
      </c>
    </row>
    <row r="955" spans="1:7">
      <c r="A955" s="2" t="s">
        <v>972</v>
      </c>
      <c r="B955" s="3">
        <v>45880</v>
      </c>
      <c r="C955" s="2" t="s">
        <v>16</v>
      </c>
      <c r="D955" s="2" t="s">
        <v>11</v>
      </c>
      <c r="E955" s="2" t="s">
        <v>24</v>
      </c>
      <c r="F955" s="2"/>
      <c r="G955" s="2">
        <v>278.77999999999997</v>
      </c>
    </row>
    <row r="956" spans="1:7">
      <c r="A956" s="2" t="s">
        <v>973</v>
      </c>
      <c r="B956" s="3">
        <v>45881</v>
      </c>
      <c r="C956" s="2" t="s">
        <v>8</v>
      </c>
      <c r="D956" s="2" t="s">
        <v>18</v>
      </c>
      <c r="E956" s="2">
        <v>376.84</v>
      </c>
      <c r="F956" s="2"/>
      <c r="G956" s="4"/>
    </row>
    <row r="957" spans="1:7">
      <c r="A957" s="2" t="s">
        <v>974</v>
      </c>
      <c r="B957" s="3">
        <v>45882</v>
      </c>
      <c r="C957" s="2" t="s">
        <v>16</v>
      </c>
      <c r="D957" s="2" t="s">
        <v>8</v>
      </c>
      <c r="E957" s="2">
        <v>655.89</v>
      </c>
      <c r="F957" s="2">
        <v>296.94</v>
      </c>
      <c r="G957" s="4"/>
    </row>
    <row r="958" spans="1:7">
      <c r="A958" s="2" t="s">
        <v>975</v>
      </c>
      <c r="B958" s="3">
        <v>45883</v>
      </c>
      <c r="C958" s="2" t="s">
        <v>22</v>
      </c>
      <c r="D958" s="2" t="s">
        <v>14</v>
      </c>
      <c r="E958" s="2">
        <v>676.13</v>
      </c>
      <c r="F958" s="2">
        <v>-26.99</v>
      </c>
      <c r="G958" s="4"/>
    </row>
    <row r="959" spans="1:7">
      <c r="A959" s="2" t="s">
        <v>976</v>
      </c>
      <c r="B959" s="3">
        <v>45884</v>
      </c>
      <c r="C959" s="2" t="s">
        <v>16</v>
      </c>
      <c r="D959" s="2" t="s">
        <v>8</v>
      </c>
      <c r="E959" s="2" t="s">
        <v>18</v>
      </c>
      <c r="F959" s="2"/>
      <c r="G959" s="2"/>
    </row>
    <row r="960" spans="1:7">
      <c r="A960" s="2" t="s">
        <v>977</v>
      </c>
      <c r="B960" s="3">
        <v>45885</v>
      </c>
      <c r="C960" s="2" t="s">
        <v>8</v>
      </c>
      <c r="D960" s="2" t="s">
        <v>14</v>
      </c>
      <c r="E960" s="2"/>
      <c r="F960" s="2"/>
      <c r="G960" s="4"/>
    </row>
    <row r="961" spans="1:7">
      <c r="A961" s="2" t="s">
        <v>978</v>
      </c>
      <c r="B961" s="3">
        <v>45886</v>
      </c>
      <c r="C961" s="2" t="s">
        <v>11</v>
      </c>
      <c r="D961" s="2" t="s">
        <v>32</v>
      </c>
      <c r="E961" s="2"/>
      <c r="F961" s="2"/>
      <c r="G961" s="4"/>
    </row>
    <row r="962" spans="1:7">
      <c r="A962" s="2" t="s">
        <v>979</v>
      </c>
      <c r="B962" s="3">
        <v>45887</v>
      </c>
      <c r="C962" s="2" t="s">
        <v>13</v>
      </c>
      <c r="D962" s="2" t="s">
        <v>22</v>
      </c>
      <c r="E962" s="2" t="s">
        <v>9</v>
      </c>
      <c r="F962" s="2"/>
      <c r="G962" s="2"/>
    </row>
    <row r="963" spans="1:7">
      <c r="A963" s="2" t="s">
        <v>980</v>
      </c>
      <c r="B963" s="3">
        <v>45888</v>
      </c>
      <c r="C963" s="2" t="s">
        <v>21</v>
      </c>
      <c r="D963" s="2" t="s">
        <v>8</v>
      </c>
      <c r="E963" s="2" t="s">
        <v>32</v>
      </c>
      <c r="F963" s="2"/>
      <c r="G963" s="2">
        <v>-173.16</v>
      </c>
    </row>
    <row r="964" spans="1:7">
      <c r="A964" s="2" t="s">
        <v>981</v>
      </c>
      <c r="B964" s="3">
        <v>45889</v>
      </c>
      <c r="C964" s="2" t="s">
        <v>27</v>
      </c>
      <c r="D964" s="2"/>
      <c r="E964" s="2" t="s">
        <v>24</v>
      </c>
      <c r="F964" s="2"/>
      <c r="G964" s="2"/>
    </row>
    <row r="965" spans="1:7">
      <c r="A965" s="2" t="s">
        <v>982</v>
      </c>
      <c r="B965" s="3">
        <v>45890</v>
      </c>
      <c r="C965" s="2" t="s">
        <v>21</v>
      </c>
      <c r="D965" s="2" t="s">
        <v>11</v>
      </c>
      <c r="E965" s="2" t="s">
        <v>24</v>
      </c>
      <c r="F965" s="2">
        <v>670.57</v>
      </c>
      <c r="G965" s="2"/>
    </row>
    <row r="966" spans="1:7">
      <c r="A966" s="2" t="s">
        <v>983</v>
      </c>
      <c r="B966" s="3">
        <v>45891</v>
      </c>
      <c r="C966" s="2"/>
      <c r="D966" s="2" t="s">
        <v>14</v>
      </c>
      <c r="E966" s="2"/>
      <c r="F966" s="2">
        <v>-73.25</v>
      </c>
      <c r="G966" s="4"/>
    </row>
    <row r="967" spans="1:7">
      <c r="A967" s="2" t="s">
        <v>984</v>
      </c>
      <c r="B967" s="3">
        <v>45892</v>
      </c>
      <c r="C967" s="2" t="s">
        <v>27</v>
      </c>
      <c r="D967" s="2" t="s">
        <v>8</v>
      </c>
      <c r="E967" s="2" t="s">
        <v>18</v>
      </c>
      <c r="F967" s="2"/>
      <c r="G967" s="2"/>
    </row>
    <row r="968" spans="1:7">
      <c r="A968" s="2" t="s">
        <v>985</v>
      </c>
      <c r="B968" s="3">
        <v>45893</v>
      </c>
      <c r="C968" s="2" t="s">
        <v>16</v>
      </c>
      <c r="D968" s="2"/>
      <c r="E968" s="2"/>
      <c r="F968" s="2">
        <v>329.16</v>
      </c>
      <c r="G968" s="2"/>
    </row>
    <row r="969" spans="1:7">
      <c r="A969" s="2" t="s">
        <v>986</v>
      </c>
      <c r="B969" s="3">
        <v>45894</v>
      </c>
      <c r="C969" s="2" t="s">
        <v>27</v>
      </c>
      <c r="D969" s="2" t="s">
        <v>8</v>
      </c>
      <c r="E969" s="2" t="s">
        <v>9</v>
      </c>
      <c r="F969" s="2">
        <v>309.17</v>
      </c>
      <c r="G969" s="2">
        <v>-93.7</v>
      </c>
    </row>
    <row r="970" spans="1:7">
      <c r="A970" s="2" t="s">
        <v>987</v>
      </c>
      <c r="B970" s="3">
        <v>45895</v>
      </c>
      <c r="C970" s="2" t="s">
        <v>21</v>
      </c>
      <c r="D970" s="2"/>
      <c r="E970" s="2" t="s">
        <v>32</v>
      </c>
      <c r="F970" s="2">
        <v>256.60000000000002</v>
      </c>
      <c r="G970" s="2"/>
    </row>
    <row r="971" spans="1:7">
      <c r="A971" s="2" t="s">
        <v>988</v>
      </c>
      <c r="B971" s="3">
        <v>45896</v>
      </c>
      <c r="C971" s="2" t="s">
        <v>27</v>
      </c>
      <c r="D971" s="2" t="s">
        <v>8</v>
      </c>
      <c r="E971" s="2">
        <v>123.76</v>
      </c>
      <c r="F971" s="2">
        <v>30.6</v>
      </c>
      <c r="G971" s="4"/>
    </row>
    <row r="972" spans="1:7">
      <c r="A972" s="2" t="s">
        <v>989</v>
      </c>
      <c r="B972" s="3">
        <v>45897</v>
      </c>
      <c r="C972" s="2" t="s">
        <v>16</v>
      </c>
      <c r="D972" s="2" t="s">
        <v>11</v>
      </c>
      <c r="E972" s="2"/>
      <c r="F972" s="2"/>
      <c r="G972" s="2"/>
    </row>
    <row r="973" spans="1:7">
      <c r="A973" s="2" t="s">
        <v>990</v>
      </c>
      <c r="B973" s="3">
        <v>45898</v>
      </c>
      <c r="C973" s="2" t="s">
        <v>13</v>
      </c>
      <c r="D973" s="2" t="s">
        <v>22</v>
      </c>
      <c r="E973" s="2" t="s">
        <v>32</v>
      </c>
      <c r="F973" s="2">
        <v>466.22</v>
      </c>
      <c r="G973" s="2"/>
    </row>
    <row r="974" spans="1:7">
      <c r="A974" s="2" t="s">
        <v>991</v>
      </c>
      <c r="B974" s="3">
        <v>45899</v>
      </c>
      <c r="C974" s="2" t="s">
        <v>13</v>
      </c>
      <c r="D974" s="2" t="s">
        <v>22</v>
      </c>
      <c r="E974" s="2"/>
      <c r="F974" s="2">
        <v>764.41</v>
      </c>
      <c r="G974" s="2">
        <v>191.54</v>
      </c>
    </row>
    <row r="975" spans="1:7">
      <c r="A975" s="2" t="s">
        <v>992</v>
      </c>
      <c r="B975" s="3">
        <v>45900</v>
      </c>
      <c r="C975" s="2" t="s">
        <v>13</v>
      </c>
      <c r="D975" s="2" t="s">
        <v>22</v>
      </c>
      <c r="E975" s="2" t="s">
        <v>32</v>
      </c>
      <c r="F975" s="2"/>
      <c r="G975" s="2">
        <v>89.15</v>
      </c>
    </row>
    <row r="976" spans="1:7">
      <c r="A976" s="2" t="s">
        <v>993</v>
      </c>
      <c r="B976" s="3">
        <v>45901</v>
      </c>
      <c r="C976" s="2" t="s">
        <v>16</v>
      </c>
      <c r="D976" s="2" t="s">
        <v>22</v>
      </c>
      <c r="E976" s="2" t="s">
        <v>14</v>
      </c>
      <c r="F976" s="2"/>
      <c r="G976" s="2"/>
    </row>
    <row r="977" spans="1:7">
      <c r="A977" s="2" t="s">
        <v>994</v>
      </c>
      <c r="B977" s="3">
        <v>45902</v>
      </c>
      <c r="C977" s="2" t="s">
        <v>8</v>
      </c>
      <c r="D977" s="2" t="s">
        <v>9</v>
      </c>
      <c r="E977" s="2"/>
      <c r="F977" s="2"/>
      <c r="G977" s="4"/>
    </row>
    <row r="978" spans="1:7">
      <c r="A978" s="2" t="s">
        <v>995</v>
      </c>
      <c r="B978" s="3">
        <v>45903</v>
      </c>
      <c r="C978" s="2" t="s">
        <v>21</v>
      </c>
      <c r="D978" s="2"/>
      <c r="E978" s="2"/>
      <c r="F978" s="2"/>
      <c r="G978" s="2">
        <v>-60.81</v>
      </c>
    </row>
    <row r="979" spans="1:7">
      <c r="A979" s="2" t="s">
        <v>996</v>
      </c>
      <c r="B979" s="3">
        <v>45904</v>
      </c>
      <c r="C979" s="2" t="s">
        <v>21</v>
      </c>
      <c r="D979" s="2" t="s">
        <v>8</v>
      </c>
      <c r="E979" s="2" t="s">
        <v>32</v>
      </c>
      <c r="F979" s="2"/>
      <c r="G979" s="2">
        <v>-164.01</v>
      </c>
    </row>
    <row r="980" spans="1:7">
      <c r="A980" s="2" t="s">
        <v>997</v>
      </c>
      <c r="B980" s="3">
        <v>45905</v>
      </c>
      <c r="C980" s="2" t="s">
        <v>22</v>
      </c>
      <c r="D980" s="2" t="s">
        <v>14</v>
      </c>
      <c r="E980" s="2">
        <v>105.66</v>
      </c>
      <c r="F980" s="2"/>
      <c r="G980" s="4"/>
    </row>
    <row r="981" spans="1:7">
      <c r="A981" s="2" t="s">
        <v>998</v>
      </c>
      <c r="B981" s="3">
        <v>45906</v>
      </c>
      <c r="C981" s="2" t="s">
        <v>8</v>
      </c>
      <c r="D981" s="2" t="s">
        <v>18</v>
      </c>
      <c r="E981" s="2">
        <v>529.23</v>
      </c>
      <c r="F981" s="2">
        <v>-100.48</v>
      </c>
      <c r="G981" s="4"/>
    </row>
    <row r="982" spans="1:7">
      <c r="A982" s="2" t="s">
        <v>999</v>
      </c>
      <c r="B982" s="3">
        <v>45907</v>
      </c>
      <c r="C982" s="2" t="s">
        <v>16</v>
      </c>
      <c r="D982" s="2"/>
      <c r="E982" s="2" t="s">
        <v>9</v>
      </c>
      <c r="F982" s="2"/>
      <c r="G982" s="2">
        <v>167.54</v>
      </c>
    </row>
    <row r="983" spans="1:7">
      <c r="A983" s="2" t="s">
        <v>1000</v>
      </c>
      <c r="B983" s="3">
        <v>45908</v>
      </c>
      <c r="C983" s="2" t="s">
        <v>13</v>
      </c>
      <c r="D983" s="2" t="s">
        <v>11</v>
      </c>
      <c r="E983" s="2" t="s">
        <v>24</v>
      </c>
      <c r="F983" s="2">
        <v>936.25</v>
      </c>
      <c r="G983" s="2">
        <v>275.27</v>
      </c>
    </row>
    <row r="984" spans="1:7">
      <c r="A984" s="2" t="s">
        <v>1001</v>
      </c>
      <c r="B984" s="3">
        <v>45909</v>
      </c>
      <c r="C984" s="2" t="s">
        <v>13</v>
      </c>
      <c r="D984" s="2" t="s">
        <v>11</v>
      </c>
      <c r="E984" s="2" t="s">
        <v>32</v>
      </c>
      <c r="F984" s="2"/>
      <c r="G984" s="2"/>
    </row>
    <row r="985" spans="1:7">
      <c r="A985" s="2" t="s">
        <v>1002</v>
      </c>
      <c r="B985" s="3">
        <v>45910</v>
      </c>
      <c r="C985" s="2" t="s">
        <v>21</v>
      </c>
      <c r="D985" s="2" t="s">
        <v>22</v>
      </c>
      <c r="E985" s="2" t="s">
        <v>9</v>
      </c>
      <c r="F985" s="2">
        <v>450.95</v>
      </c>
      <c r="G985" s="2"/>
    </row>
    <row r="986" spans="1:7">
      <c r="A986" s="2" t="s">
        <v>1003</v>
      </c>
      <c r="B986" s="3">
        <v>45911</v>
      </c>
      <c r="C986" s="2" t="s">
        <v>13</v>
      </c>
      <c r="D986" s="2" t="s">
        <v>8</v>
      </c>
      <c r="E986" s="2" t="s">
        <v>9</v>
      </c>
      <c r="F986" s="2">
        <v>168.61</v>
      </c>
      <c r="G986" s="2"/>
    </row>
    <row r="987" spans="1:7">
      <c r="A987" s="2" t="s">
        <v>1004</v>
      </c>
      <c r="B987" s="3">
        <v>45912</v>
      </c>
      <c r="C987" s="2" t="s">
        <v>27</v>
      </c>
      <c r="D987" s="2" t="s">
        <v>11</v>
      </c>
      <c r="E987" s="2" t="s">
        <v>14</v>
      </c>
      <c r="F987" s="2">
        <v>477.88</v>
      </c>
      <c r="G987" s="2">
        <v>-154.11000000000001</v>
      </c>
    </row>
    <row r="988" spans="1:7">
      <c r="A988" s="2" t="s">
        <v>1005</v>
      </c>
      <c r="B988" s="3">
        <v>45913</v>
      </c>
      <c r="C988" s="2" t="s">
        <v>21</v>
      </c>
      <c r="D988" s="2" t="s">
        <v>22</v>
      </c>
      <c r="E988" s="2" t="s">
        <v>24</v>
      </c>
      <c r="F988" s="2">
        <v>460.37</v>
      </c>
      <c r="G988" s="2">
        <v>66.739999999999995</v>
      </c>
    </row>
    <row r="989" spans="1:7">
      <c r="A989" s="2" t="s">
        <v>1006</v>
      </c>
      <c r="B989" s="3">
        <v>45914</v>
      </c>
      <c r="C989" s="2" t="s">
        <v>27</v>
      </c>
      <c r="D989" s="2"/>
      <c r="E989" s="2" t="s">
        <v>18</v>
      </c>
      <c r="F989" s="2">
        <v>428.09</v>
      </c>
      <c r="G989" s="2"/>
    </row>
    <row r="990" spans="1:7">
      <c r="A990" s="2" t="s">
        <v>1007</v>
      </c>
      <c r="B990" s="3">
        <v>45915</v>
      </c>
      <c r="C990" s="2" t="s">
        <v>21</v>
      </c>
      <c r="D990" s="2" t="s">
        <v>8</v>
      </c>
      <c r="E990" s="2" t="s">
        <v>32</v>
      </c>
      <c r="F990" s="2"/>
      <c r="G990" s="2"/>
    </row>
    <row r="991" spans="1:7">
      <c r="A991" s="2" t="s">
        <v>1008</v>
      </c>
      <c r="B991" s="3">
        <v>45916</v>
      </c>
      <c r="C991" s="2" t="s">
        <v>27</v>
      </c>
      <c r="D991" s="2" t="s">
        <v>11</v>
      </c>
      <c r="E991" s="2" t="s">
        <v>32</v>
      </c>
      <c r="F991" s="2"/>
      <c r="G991" s="2"/>
    </row>
    <row r="992" spans="1:7">
      <c r="A992" s="2" t="s">
        <v>1009</v>
      </c>
      <c r="B992" s="3">
        <v>45917</v>
      </c>
      <c r="C992" s="2" t="s">
        <v>21</v>
      </c>
      <c r="D992" s="2" t="s">
        <v>11</v>
      </c>
      <c r="E992" s="2" t="s">
        <v>9</v>
      </c>
      <c r="F992" s="2">
        <v>450.91</v>
      </c>
      <c r="G992" s="2"/>
    </row>
    <row r="993" spans="1:7">
      <c r="A993" s="2" t="s">
        <v>1010</v>
      </c>
      <c r="B993" s="3">
        <v>45918</v>
      </c>
      <c r="C993" s="2" t="s">
        <v>13</v>
      </c>
      <c r="D993" s="2" t="s">
        <v>8</v>
      </c>
      <c r="E993" s="2" t="s">
        <v>24</v>
      </c>
      <c r="F993" s="2"/>
      <c r="G993" s="2">
        <v>159.21</v>
      </c>
    </row>
    <row r="994" spans="1:7">
      <c r="A994" s="2" t="s">
        <v>1011</v>
      </c>
      <c r="B994" s="3">
        <v>45919</v>
      </c>
      <c r="C994" s="2" t="s">
        <v>27</v>
      </c>
      <c r="D994" s="2" t="s">
        <v>11</v>
      </c>
      <c r="E994" s="2" t="s">
        <v>18</v>
      </c>
      <c r="F994" s="2">
        <v>348.3</v>
      </c>
      <c r="G994" s="2"/>
    </row>
    <row r="995" spans="1:7">
      <c r="A995" s="2" t="s">
        <v>1012</v>
      </c>
      <c r="B995" s="3">
        <v>45920</v>
      </c>
      <c r="C995" s="2"/>
      <c r="D995" s="2" t="s">
        <v>18</v>
      </c>
      <c r="E995" s="2"/>
      <c r="F995" s="2">
        <v>142.21</v>
      </c>
      <c r="G995" s="4"/>
    </row>
    <row r="996" spans="1:7">
      <c r="A996" s="2" t="s">
        <v>1013</v>
      </c>
      <c r="B996" s="3">
        <v>45921</v>
      </c>
      <c r="C996" s="2"/>
      <c r="D996" s="2"/>
      <c r="E996" s="2"/>
      <c r="F996" s="2">
        <v>59.77</v>
      </c>
      <c r="G996" s="4"/>
    </row>
    <row r="997" spans="1:7">
      <c r="A997" s="2" t="s">
        <v>1014</v>
      </c>
      <c r="B997" s="3">
        <v>45922</v>
      </c>
      <c r="C997" s="2" t="s">
        <v>8</v>
      </c>
      <c r="D997" s="2" t="s">
        <v>18</v>
      </c>
      <c r="E997" s="2">
        <v>160.97</v>
      </c>
      <c r="F997" s="2">
        <v>260.07</v>
      </c>
      <c r="G997" s="4"/>
    </row>
    <row r="998" spans="1:7">
      <c r="A998" s="2" t="s">
        <v>1015</v>
      </c>
      <c r="B998" s="3">
        <v>45923</v>
      </c>
      <c r="C998" s="2" t="s">
        <v>16</v>
      </c>
      <c r="D998" s="2"/>
      <c r="E998" s="2" t="s">
        <v>24</v>
      </c>
      <c r="F998" s="2">
        <v>252.31</v>
      </c>
      <c r="G998" s="2">
        <v>244.86</v>
      </c>
    </row>
    <row r="999" spans="1:7">
      <c r="A999" s="2" t="s">
        <v>1016</v>
      </c>
      <c r="B999" s="3">
        <v>45924</v>
      </c>
      <c r="C999" s="2" t="s">
        <v>11</v>
      </c>
      <c r="D999" s="2"/>
      <c r="E999" s="2"/>
      <c r="F999" s="2"/>
      <c r="G999" s="4"/>
    </row>
    <row r="1000" spans="1:7">
      <c r="A1000" s="2" t="s">
        <v>1017</v>
      </c>
      <c r="B1000" s="3">
        <v>45925</v>
      </c>
      <c r="C1000" s="2"/>
      <c r="D1000" s="2" t="s">
        <v>14</v>
      </c>
      <c r="E1000" s="2">
        <v>68.27</v>
      </c>
      <c r="F1000" s="2">
        <v>193.26</v>
      </c>
      <c r="G1000" s="4"/>
    </row>
    <row r="1001" spans="1:7">
      <c r="A1001" s="2" t="s">
        <v>1018</v>
      </c>
      <c r="B1001" s="3">
        <v>45926</v>
      </c>
      <c r="C1001" s="2" t="s">
        <v>27</v>
      </c>
      <c r="D1001" s="2" t="s">
        <v>22</v>
      </c>
      <c r="E1001" s="2" t="s">
        <v>9</v>
      </c>
      <c r="F1001" s="2">
        <v>973.96</v>
      </c>
      <c r="G1001" s="2">
        <v>-77.459999999999994</v>
      </c>
    </row>
    <row r="1002" spans="1:7">
      <c r="A1002" s="2" t="s">
        <v>1019</v>
      </c>
      <c r="B1002" s="3">
        <v>45927</v>
      </c>
      <c r="C1002" s="2" t="s">
        <v>27</v>
      </c>
      <c r="D1002" s="2"/>
      <c r="E1002" s="2" t="s">
        <v>14</v>
      </c>
      <c r="F1002" s="2">
        <v>139.41999999999999</v>
      </c>
      <c r="G1002" s="2"/>
    </row>
    <row r="1003" spans="1:7">
      <c r="A1003" s="2" t="s">
        <v>1020</v>
      </c>
      <c r="B1003" s="3">
        <v>45928</v>
      </c>
      <c r="C1003" s="2" t="s">
        <v>21</v>
      </c>
      <c r="D1003" s="2"/>
      <c r="E1003" s="2" t="s">
        <v>9</v>
      </c>
      <c r="F1003" s="2"/>
      <c r="G1003" s="2"/>
    </row>
    <row r="1004" spans="1:7">
      <c r="A1004" s="2" t="s">
        <v>1021</v>
      </c>
      <c r="B1004" s="3">
        <v>45929</v>
      </c>
      <c r="C1004" s="2" t="s">
        <v>16</v>
      </c>
      <c r="D1004" s="2"/>
      <c r="E1004" s="2" t="s">
        <v>9</v>
      </c>
      <c r="F1004" s="2">
        <v>113.58</v>
      </c>
      <c r="G1004" s="2"/>
    </row>
    <row r="1005" spans="1:7">
      <c r="A1005" s="2" t="s">
        <v>1022</v>
      </c>
      <c r="B1005" s="3">
        <v>45930</v>
      </c>
      <c r="C1005" s="2" t="s">
        <v>27</v>
      </c>
      <c r="D1005" s="2" t="s">
        <v>11</v>
      </c>
      <c r="E1005" s="2" t="s">
        <v>14</v>
      </c>
      <c r="F1005" s="2">
        <v>514.1</v>
      </c>
      <c r="G1005" s="2"/>
    </row>
    <row r="1006" spans="1:7">
      <c r="A1006" s="2" t="s">
        <v>1023</v>
      </c>
      <c r="B1006" s="3">
        <v>45931</v>
      </c>
      <c r="C1006" s="2" t="s">
        <v>27</v>
      </c>
      <c r="D1006" s="2" t="s">
        <v>11</v>
      </c>
      <c r="E1006" s="2" t="s">
        <v>24</v>
      </c>
      <c r="F1006" s="2">
        <v>253.17</v>
      </c>
      <c r="G1006" s="2">
        <v>-44.96</v>
      </c>
    </row>
    <row r="1007" spans="1:7">
      <c r="A1007" s="2" t="s">
        <v>1024</v>
      </c>
      <c r="B1007" s="3">
        <v>45932</v>
      </c>
      <c r="C1007" s="2" t="s">
        <v>21</v>
      </c>
      <c r="D1007" s="2" t="s">
        <v>8</v>
      </c>
      <c r="E1007" s="2"/>
      <c r="F1007" s="2">
        <v>197.1</v>
      </c>
      <c r="G1007" s="4"/>
    </row>
    <row r="1008" spans="1:7">
      <c r="A1008" s="2" t="s">
        <v>1025</v>
      </c>
      <c r="B1008" s="3">
        <v>45933</v>
      </c>
      <c r="C1008" s="2" t="s">
        <v>8</v>
      </c>
      <c r="D1008" s="2" t="s">
        <v>14</v>
      </c>
      <c r="E1008" s="2"/>
      <c r="F1008" s="2">
        <v>-90.21</v>
      </c>
      <c r="G1008" s="4"/>
    </row>
    <row r="1009" spans="1:7">
      <c r="A1009" s="2" t="s">
        <v>1026</v>
      </c>
      <c r="B1009" s="3">
        <v>45934</v>
      </c>
      <c r="C1009" s="2" t="s">
        <v>8</v>
      </c>
      <c r="D1009" s="2" t="s">
        <v>32</v>
      </c>
      <c r="E1009" s="2">
        <v>719.02</v>
      </c>
      <c r="F1009" s="2">
        <v>270.43</v>
      </c>
      <c r="G1009" s="4"/>
    </row>
    <row r="1010" spans="1:7">
      <c r="A1010" s="2" t="s">
        <v>1027</v>
      </c>
      <c r="B1010" s="3">
        <v>45935</v>
      </c>
      <c r="C1010" s="2" t="s">
        <v>27</v>
      </c>
      <c r="D1010" s="2" t="s">
        <v>8</v>
      </c>
      <c r="E1010" s="2" t="s">
        <v>9</v>
      </c>
      <c r="F1010" s="2"/>
      <c r="G1010" s="2"/>
    </row>
    <row r="1011" spans="1:7">
      <c r="A1011" s="2" t="s">
        <v>1028</v>
      </c>
      <c r="B1011" s="3">
        <v>45936</v>
      </c>
      <c r="C1011" s="2" t="s">
        <v>13</v>
      </c>
      <c r="D1011" s="2" t="s">
        <v>22</v>
      </c>
      <c r="E1011" s="2" t="s">
        <v>18</v>
      </c>
      <c r="F1011" s="2">
        <v>149.83000000000001</v>
      </c>
      <c r="G1011" s="2"/>
    </row>
    <row r="1012" spans="1:7">
      <c r="A1012" s="2" t="s">
        <v>1029</v>
      </c>
      <c r="B1012" s="3">
        <v>45937</v>
      </c>
      <c r="C1012" s="2" t="s">
        <v>21</v>
      </c>
      <c r="D1012" s="2" t="s">
        <v>22</v>
      </c>
      <c r="E1012" s="2" t="s">
        <v>18</v>
      </c>
      <c r="F1012" s="2"/>
      <c r="G1012" s="2"/>
    </row>
    <row r="1013" spans="1:7">
      <c r="A1013" s="2" t="s">
        <v>1030</v>
      </c>
      <c r="B1013" s="3">
        <v>45938</v>
      </c>
      <c r="C1013" s="2" t="s">
        <v>13</v>
      </c>
      <c r="D1013" s="2" t="s">
        <v>22</v>
      </c>
      <c r="E1013" s="2" t="s">
        <v>18</v>
      </c>
      <c r="F1013" s="2">
        <v>921.95</v>
      </c>
      <c r="G1013" s="2"/>
    </row>
    <row r="1014" spans="1:7">
      <c r="A1014" s="2" t="s">
        <v>1031</v>
      </c>
      <c r="B1014" s="3">
        <v>45939</v>
      </c>
      <c r="C1014" s="2" t="s">
        <v>27</v>
      </c>
      <c r="D1014" s="2" t="s">
        <v>11</v>
      </c>
      <c r="E1014" s="2" t="s">
        <v>24</v>
      </c>
      <c r="F1014" s="2">
        <v>966.35</v>
      </c>
      <c r="G1014" s="2">
        <v>-160.36000000000001</v>
      </c>
    </row>
    <row r="1015" spans="1:7">
      <c r="A1015" s="2" t="s">
        <v>1032</v>
      </c>
      <c r="B1015" s="3">
        <v>45940</v>
      </c>
      <c r="C1015" s="2" t="s">
        <v>27</v>
      </c>
      <c r="D1015" s="2" t="s">
        <v>11</v>
      </c>
      <c r="E1015" s="2" t="s">
        <v>32</v>
      </c>
      <c r="F1015" s="2"/>
      <c r="G1015" s="2"/>
    </row>
    <row r="1016" spans="1:7">
      <c r="A1016" s="2" t="s">
        <v>1033</v>
      </c>
      <c r="B1016" s="3">
        <v>45941</v>
      </c>
      <c r="C1016" s="2" t="s">
        <v>22</v>
      </c>
      <c r="D1016" s="2" t="s">
        <v>18</v>
      </c>
      <c r="E1016" s="2">
        <v>812.28</v>
      </c>
      <c r="F1016" s="2"/>
      <c r="G1016" s="4"/>
    </row>
    <row r="1017" spans="1:7">
      <c r="A1017" s="2" t="s">
        <v>1034</v>
      </c>
      <c r="B1017" s="3">
        <v>45942</v>
      </c>
      <c r="C1017" s="2" t="s">
        <v>11</v>
      </c>
      <c r="D1017" s="2" t="s">
        <v>24</v>
      </c>
      <c r="E1017" s="2">
        <v>408.3</v>
      </c>
      <c r="F1017" s="2">
        <v>-176.11</v>
      </c>
      <c r="G1017" s="4"/>
    </row>
    <row r="1018" spans="1:7">
      <c r="A1018" s="2" t="s">
        <v>1035</v>
      </c>
      <c r="B1018" s="3">
        <v>45943</v>
      </c>
      <c r="C1018" s="2" t="s">
        <v>27</v>
      </c>
      <c r="D1018" s="2" t="s">
        <v>11</v>
      </c>
      <c r="E1018" s="2" t="s">
        <v>32</v>
      </c>
      <c r="F1018" s="2">
        <v>121.81</v>
      </c>
      <c r="G1018" s="2"/>
    </row>
    <row r="1019" spans="1:7">
      <c r="A1019" s="2" t="s">
        <v>1036</v>
      </c>
      <c r="B1019" s="3">
        <v>45944</v>
      </c>
      <c r="C1019" s="2" t="s">
        <v>16</v>
      </c>
      <c r="D1019" s="2" t="s">
        <v>22</v>
      </c>
      <c r="E1019" s="2" t="s">
        <v>24</v>
      </c>
      <c r="F1019" s="2"/>
      <c r="G1019" s="2">
        <v>-0.28999999999999998</v>
      </c>
    </row>
    <row r="1020" spans="1:7">
      <c r="A1020" s="2" t="s">
        <v>1037</v>
      </c>
      <c r="B1020" s="3">
        <v>45945</v>
      </c>
      <c r="C1020" s="2" t="s">
        <v>27</v>
      </c>
      <c r="D1020" s="2" t="s">
        <v>22</v>
      </c>
      <c r="E1020" s="2" t="s">
        <v>32</v>
      </c>
      <c r="F1020" s="2"/>
      <c r="G1020" s="2"/>
    </row>
    <row r="1021" spans="1:7">
      <c r="A1021" s="2" t="s">
        <v>1038</v>
      </c>
      <c r="B1021" s="3">
        <v>45946</v>
      </c>
      <c r="C1021" s="2" t="s">
        <v>16</v>
      </c>
      <c r="D1021" s="2"/>
      <c r="E1021" s="2" t="s">
        <v>24</v>
      </c>
      <c r="F1021" s="2">
        <v>869.16</v>
      </c>
      <c r="G1021" s="2">
        <v>166.98</v>
      </c>
    </row>
    <row r="1022" spans="1:7">
      <c r="A1022" s="2" t="s">
        <v>1039</v>
      </c>
      <c r="B1022" s="3">
        <v>45947</v>
      </c>
      <c r="C1022" s="2" t="s">
        <v>13</v>
      </c>
      <c r="D1022" s="2" t="s">
        <v>8</v>
      </c>
      <c r="E1022" s="2" t="s">
        <v>18</v>
      </c>
      <c r="F1022" s="2"/>
      <c r="G1022" s="2"/>
    </row>
    <row r="1023" spans="1:7">
      <c r="A1023" s="2" t="s">
        <v>1040</v>
      </c>
      <c r="B1023" s="3">
        <v>45948</v>
      </c>
      <c r="C1023" s="2" t="s">
        <v>13</v>
      </c>
      <c r="D1023" s="2" t="s">
        <v>22</v>
      </c>
      <c r="E1023" s="2" t="s">
        <v>32</v>
      </c>
      <c r="F1023" s="2">
        <v>734.53</v>
      </c>
      <c r="G1023" s="2"/>
    </row>
    <row r="1024" spans="1:7">
      <c r="A1024" s="2" t="s">
        <v>1041</v>
      </c>
      <c r="B1024" s="3">
        <v>45949</v>
      </c>
      <c r="C1024" s="2" t="s">
        <v>16</v>
      </c>
      <c r="D1024" s="2" t="s">
        <v>8</v>
      </c>
      <c r="E1024" s="2" t="s">
        <v>14</v>
      </c>
      <c r="F1024" s="2"/>
      <c r="G1024" s="2"/>
    </row>
    <row r="1025" spans="1:7">
      <c r="A1025" s="2" t="s">
        <v>1042</v>
      </c>
      <c r="B1025" s="3">
        <v>45950</v>
      </c>
      <c r="C1025" s="2" t="s">
        <v>11</v>
      </c>
      <c r="D1025" s="2"/>
      <c r="E1025" s="2"/>
      <c r="F1025" s="2"/>
      <c r="G1025" s="4"/>
    </row>
    <row r="1026" spans="1:7">
      <c r="A1026" s="2" t="s">
        <v>1043</v>
      </c>
      <c r="B1026" s="3">
        <v>45951</v>
      </c>
      <c r="C1026" s="2" t="s">
        <v>22</v>
      </c>
      <c r="D1026" s="2" t="s">
        <v>14</v>
      </c>
      <c r="E1026" s="2"/>
      <c r="F1026" s="2">
        <v>106.72</v>
      </c>
      <c r="G1026" s="4"/>
    </row>
    <row r="1027" spans="1:7">
      <c r="A1027" s="2" t="s">
        <v>1044</v>
      </c>
      <c r="B1027" s="3">
        <v>45952</v>
      </c>
      <c r="C1027" s="2" t="s">
        <v>27</v>
      </c>
      <c r="D1027" s="2" t="s">
        <v>22</v>
      </c>
      <c r="E1027" s="2" t="s">
        <v>14</v>
      </c>
      <c r="F1027" s="2">
        <v>451.92</v>
      </c>
      <c r="G1027" s="2"/>
    </row>
    <row r="1028" spans="1:7">
      <c r="A1028" s="2" t="s">
        <v>1045</v>
      </c>
      <c r="B1028" s="3">
        <v>45953</v>
      </c>
      <c r="C1028" s="2" t="s">
        <v>13</v>
      </c>
      <c r="D1028" s="2" t="s">
        <v>11</v>
      </c>
      <c r="E1028" s="2" t="s">
        <v>9</v>
      </c>
      <c r="F1028" s="2"/>
      <c r="G1028" s="2">
        <v>240.53</v>
      </c>
    </row>
    <row r="1029" spans="1:7">
      <c r="A1029" s="2" t="s">
        <v>1046</v>
      </c>
      <c r="B1029" s="3">
        <v>45954</v>
      </c>
      <c r="C1029" s="2" t="s">
        <v>21</v>
      </c>
      <c r="D1029" s="2" t="s">
        <v>22</v>
      </c>
      <c r="E1029" s="2" t="s">
        <v>9</v>
      </c>
      <c r="F1029" s="2">
        <v>582.53</v>
      </c>
      <c r="G1029" s="2">
        <v>-9.7200000000000006</v>
      </c>
    </row>
    <row r="1030" spans="1:7">
      <c r="A1030" s="2" t="s">
        <v>1047</v>
      </c>
      <c r="B1030" s="3">
        <v>45955</v>
      </c>
      <c r="C1030" s="2" t="s">
        <v>27</v>
      </c>
      <c r="D1030" s="2" t="s">
        <v>8</v>
      </c>
      <c r="E1030" s="2" t="s">
        <v>18</v>
      </c>
      <c r="F1030" s="2"/>
      <c r="G1030" s="2"/>
    </row>
    <row r="1031" spans="1:7">
      <c r="A1031" s="2" t="s">
        <v>1048</v>
      </c>
      <c r="B1031" s="3">
        <v>45956</v>
      </c>
      <c r="C1031" s="2" t="s">
        <v>21</v>
      </c>
      <c r="D1031" s="2"/>
      <c r="E1031" s="2" t="s">
        <v>32</v>
      </c>
      <c r="F1031" s="2"/>
      <c r="G1031" s="2">
        <v>-67.900000000000006</v>
      </c>
    </row>
    <row r="1032" spans="1:7">
      <c r="A1032" s="2" t="s">
        <v>1049</v>
      </c>
      <c r="B1032" s="3">
        <v>45957</v>
      </c>
      <c r="C1032" s="2" t="s">
        <v>27</v>
      </c>
      <c r="D1032" s="2"/>
      <c r="E1032" s="2" t="s">
        <v>9</v>
      </c>
      <c r="F1032" s="2"/>
      <c r="G1032" s="2"/>
    </row>
    <row r="1033" spans="1:7">
      <c r="A1033" s="2" t="s">
        <v>1050</v>
      </c>
      <c r="B1033" s="3">
        <v>45958</v>
      </c>
      <c r="C1033" s="2" t="s">
        <v>13</v>
      </c>
      <c r="D1033" s="2" t="s">
        <v>22</v>
      </c>
      <c r="E1033" s="2" t="s">
        <v>32</v>
      </c>
      <c r="F1033" s="2">
        <v>599.69000000000005</v>
      </c>
      <c r="G1033" s="2"/>
    </row>
    <row r="1034" spans="1:7">
      <c r="A1034" s="2" t="s">
        <v>1051</v>
      </c>
      <c r="B1034" s="3">
        <v>45959</v>
      </c>
      <c r="C1034" s="2" t="s">
        <v>27</v>
      </c>
      <c r="D1034" s="2"/>
      <c r="E1034" s="2" t="s">
        <v>24</v>
      </c>
      <c r="F1034" s="2">
        <v>662.62</v>
      </c>
      <c r="G1034" s="2"/>
    </row>
    <row r="1035" spans="1:7">
      <c r="A1035" s="2" t="s">
        <v>1052</v>
      </c>
      <c r="B1035" s="3">
        <v>45960</v>
      </c>
      <c r="C1035" s="2" t="s">
        <v>21</v>
      </c>
      <c r="D1035" s="2" t="s">
        <v>22</v>
      </c>
      <c r="E1035" s="2" t="s">
        <v>24</v>
      </c>
      <c r="F1035" s="2"/>
      <c r="G1035" s="2">
        <v>268.86</v>
      </c>
    </row>
    <row r="1036" spans="1:7">
      <c r="A1036" s="2" t="s">
        <v>1053</v>
      </c>
      <c r="B1036" s="3">
        <v>45961</v>
      </c>
      <c r="C1036" s="2" t="s">
        <v>11</v>
      </c>
      <c r="D1036" s="2" t="s">
        <v>14</v>
      </c>
      <c r="E1036" s="2">
        <v>540.89</v>
      </c>
      <c r="F1036" s="2">
        <v>203.37</v>
      </c>
      <c r="G1036" s="4"/>
    </row>
    <row r="1037" spans="1:7">
      <c r="A1037" s="2" t="s">
        <v>1054</v>
      </c>
      <c r="B1037" s="3">
        <v>45962</v>
      </c>
      <c r="C1037" s="2" t="s">
        <v>13</v>
      </c>
      <c r="D1037" s="2" t="s">
        <v>8</v>
      </c>
      <c r="E1037" s="2" t="s">
        <v>9</v>
      </c>
      <c r="F1037" s="2">
        <v>204.29</v>
      </c>
      <c r="G1037" s="2"/>
    </row>
    <row r="1038" spans="1:7">
      <c r="A1038" s="2" t="s">
        <v>1055</v>
      </c>
      <c r="B1038" s="3">
        <v>45963</v>
      </c>
      <c r="C1038" s="2" t="s">
        <v>16</v>
      </c>
      <c r="D1038" s="2" t="s">
        <v>8</v>
      </c>
      <c r="E1038" s="2" t="s">
        <v>18</v>
      </c>
      <c r="F1038" s="2">
        <v>387.28</v>
      </c>
      <c r="G1038" s="2"/>
    </row>
    <row r="1039" spans="1:7">
      <c r="A1039" s="2" t="s">
        <v>1056</v>
      </c>
      <c r="B1039" s="3">
        <v>45964</v>
      </c>
      <c r="C1039" s="2" t="s">
        <v>16</v>
      </c>
      <c r="D1039" s="2" t="s">
        <v>11</v>
      </c>
      <c r="E1039" s="2" t="s">
        <v>9</v>
      </c>
      <c r="F1039" s="2">
        <v>301.69</v>
      </c>
      <c r="G1039" s="2">
        <v>252.78</v>
      </c>
    </row>
    <row r="1040" spans="1:7">
      <c r="A1040" s="2" t="s">
        <v>1057</v>
      </c>
      <c r="B1040" s="3">
        <v>45965</v>
      </c>
      <c r="C1040" s="2"/>
      <c r="D1040" s="2" t="s">
        <v>9</v>
      </c>
      <c r="E1040" s="2"/>
      <c r="F1040" s="2"/>
      <c r="G1040" s="4"/>
    </row>
    <row r="1041" spans="1:7">
      <c r="A1041" s="2" t="s">
        <v>1058</v>
      </c>
      <c r="B1041" s="3">
        <v>45966</v>
      </c>
      <c r="C1041" s="2" t="s">
        <v>8</v>
      </c>
      <c r="D1041" s="2">
        <v>996.68</v>
      </c>
      <c r="E1041" s="2"/>
      <c r="F1041" s="4"/>
      <c r="G1041" s="4"/>
    </row>
    <row r="1042" spans="1:7">
      <c r="A1042" s="2" t="s">
        <v>1059</v>
      </c>
      <c r="B1042" s="3">
        <v>45967</v>
      </c>
      <c r="C1042" s="2" t="s">
        <v>16</v>
      </c>
      <c r="D1042" s="2" t="s">
        <v>11</v>
      </c>
      <c r="E1042" s="2"/>
      <c r="F1042" s="2">
        <v>907.47</v>
      </c>
      <c r="G1042" s="2"/>
    </row>
    <row r="1043" spans="1:7">
      <c r="A1043" s="2" t="s">
        <v>1060</v>
      </c>
      <c r="B1043" s="3">
        <v>45968</v>
      </c>
      <c r="C1043" s="2" t="s">
        <v>21</v>
      </c>
      <c r="D1043" s="2" t="s">
        <v>11</v>
      </c>
      <c r="E1043" s="2" t="s">
        <v>9</v>
      </c>
      <c r="F1043" s="2">
        <v>173.74</v>
      </c>
      <c r="G1043" s="2"/>
    </row>
    <row r="1044" spans="1:7">
      <c r="A1044" s="2" t="s">
        <v>1061</v>
      </c>
      <c r="B1044" s="3">
        <v>45969</v>
      </c>
      <c r="C1044" s="2" t="s">
        <v>16</v>
      </c>
      <c r="D1044" s="2"/>
      <c r="E1044" s="2" t="s">
        <v>9</v>
      </c>
      <c r="F1044" s="2">
        <v>226.79</v>
      </c>
      <c r="G1044" s="2"/>
    </row>
    <row r="1045" spans="1:7">
      <c r="A1045" s="2" t="s">
        <v>1062</v>
      </c>
      <c r="B1045" s="3">
        <v>45970</v>
      </c>
      <c r="C1045" s="2" t="s">
        <v>13</v>
      </c>
      <c r="D1045" s="2" t="s">
        <v>11</v>
      </c>
      <c r="E1045" s="2" t="s">
        <v>9</v>
      </c>
      <c r="F1045" s="2">
        <v>401.99</v>
      </c>
      <c r="G1045" s="2">
        <v>-101.62</v>
      </c>
    </row>
    <row r="1046" spans="1:7">
      <c r="A1046" s="2" t="s">
        <v>1063</v>
      </c>
      <c r="B1046" s="3">
        <v>45971</v>
      </c>
      <c r="C1046" s="2" t="s">
        <v>16</v>
      </c>
      <c r="D1046" s="2" t="s">
        <v>8</v>
      </c>
      <c r="E1046" s="2"/>
      <c r="F1046" s="2">
        <v>201.63</v>
      </c>
      <c r="G1046" s="4"/>
    </row>
    <row r="1047" spans="1:7">
      <c r="A1047" s="2" t="s">
        <v>1064</v>
      </c>
      <c r="B1047" s="3">
        <v>45972</v>
      </c>
      <c r="C1047" s="2"/>
      <c r="D1047" s="2" t="s">
        <v>18</v>
      </c>
      <c r="E1047" s="2">
        <v>496.28</v>
      </c>
      <c r="F1047" s="2"/>
      <c r="G1047" s="4"/>
    </row>
    <row r="1048" spans="1:7">
      <c r="A1048" s="2" t="s">
        <v>1065</v>
      </c>
      <c r="B1048" s="3">
        <v>45973</v>
      </c>
      <c r="C1048" s="2" t="s">
        <v>22</v>
      </c>
      <c r="D1048" s="2" t="s">
        <v>18</v>
      </c>
      <c r="E1048" s="2"/>
      <c r="F1048" s="2">
        <v>-153.21</v>
      </c>
      <c r="G1048" s="4"/>
    </row>
    <row r="1049" spans="1:7">
      <c r="A1049" s="2" t="s">
        <v>1066</v>
      </c>
      <c r="B1049" s="3">
        <v>45974</v>
      </c>
      <c r="C1049" s="2" t="s">
        <v>27</v>
      </c>
      <c r="D1049" s="2" t="s">
        <v>11</v>
      </c>
      <c r="E1049" s="2"/>
      <c r="F1049" s="2">
        <v>796.86</v>
      </c>
      <c r="G1049" s="2">
        <v>12.11</v>
      </c>
    </row>
    <row r="1050" spans="1:7">
      <c r="A1050" s="2" t="s">
        <v>1067</v>
      </c>
      <c r="B1050" s="3">
        <v>45975</v>
      </c>
      <c r="C1050" s="2" t="s">
        <v>8</v>
      </c>
      <c r="D1050" s="2" t="s">
        <v>24</v>
      </c>
      <c r="E1050" s="2">
        <v>382.73</v>
      </c>
      <c r="F1050" s="2">
        <v>233.33</v>
      </c>
      <c r="G1050" s="4"/>
    </row>
    <row r="1051" spans="1:7">
      <c r="A1051" s="2" t="s">
        <v>1068</v>
      </c>
      <c r="B1051" s="3">
        <v>45976</v>
      </c>
      <c r="C1051" s="2" t="s">
        <v>13</v>
      </c>
      <c r="D1051" s="2" t="s">
        <v>8</v>
      </c>
      <c r="E1051" s="2" t="s">
        <v>32</v>
      </c>
      <c r="F1051" s="2"/>
      <c r="G1051" s="2"/>
    </row>
    <row r="1052" spans="1:7">
      <c r="A1052" s="2" t="s">
        <v>1069</v>
      </c>
      <c r="B1052" s="3">
        <v>45977</v>
      </c>
      <c r="C1052" s="2" t="s">
        <v>16</v>
      </c>
      <c r="D1052" s="2"/>
      <c r="E1052" s="2" t="s">
        <v>14</v>
      </c>
      <c r="F1052" s="2">
        <v>994.27</v>
      </c>
      <c r="G1052" s="2">
        <v>70.88</v>
      </c>
    </row>
    <row r="1053" spans="1:7">
      <c r="A1053" s="2" t="s">
        <v>1070</v>
      </c>
      <c r="B1053" s="3">
        <v>45978</v>
      </c>
      <c r="C1053" s="2" t="s">
        <v>13</v>
      </c>
      <c r="D1053" s="2"/>
      <c r="E1053" s="2" t="s">
        <v>32</v>
      </c>
      <c r="F1053" s="2"/>
      <c r="G1053" s="2">
        <v>198.91</v>
      </c>
    </row>
    <row r="1054" spans="1:7">
      <c r="A1054" s="2" t="s">
        <v>1071</v>
      </c>
      <c r="B1054" s="3">
        <v>45979</v>
      </c>
      <c r="C1054" s="2" t="s">
        <v>16</v>
      </c>
      <c r="D1054" s="2" t="s">
        <v>11</v>
      </c>
      <c r="E1054" s="2" t="s">
        <v>24</v>
      </c>
      <c r="F1054" s="2"/>
      <c r="G1054" s="2"/>
    </row>
    <row r="1055" spans="1:7">
      <c r="A1055" s="2" t="s">
        <v>1072</v>
      </c>
      <c r="B1055" s="3">
        <v>45980</v>
      </c>
      <c r="C1055" s="2" t="s">
        <v>21</v>
      </c>
      <c r="D1055" s="2" t="s">
        <v>8</v>
      </c>
      <c r="E1055" s="2" t="s">
        <v>14</v>
      </c>
      <c r="F1055" s="2">
        <v>66.180000000000007</v>
      </c>
      <c r="G1055" s="2"/>
    </row>
    <row r="1056" spans="1:7">
      <c r="A1056" s="2" t="s">
        <v>1073</v>
      </c>
      <c r="B1056" s="3">
        <v>45981</v>
      </c>
      <c r="C1056" s="2" t="s">
        <v>16</v>
      </c>
      <c r="D1056" s="2" t="s">
        <v>8</v>
      </c>
      <c r="E1056" s="2" t="s">
        <v>14</v>
      </c>
      <c r="F1056" s="2">
        <v>85.18</v>
      </c>
      <c r="G1056" s="2">
        <v>21.88</v>
      </c>
    </row>
    <row r="1057" spans="1:7">
      <c r="A1057" s="2" t="s">
        <v>1074</v>
      </c>
      <c r="B1057" s="3">
        <v>45982</v>
      </c>
      <c r="C1057" s="2" t="s">
        <v>11</v>
      </c>
      <c r="D1057" s="2" t="s">
        <v>9</v>
      </c>
      <c r="E1057" s="2">
        <v>740.5</v>
      </c>
      <c r="F1057" s="2"/>
      <c r="G1057" s="4"/>
    </row>
    <row r="1058" spans="1:7">
      <c r="A1058" s="2" t="s">
        <v>1075</v>
      </c>
      <c r="B1058" s="3">
        <v>45983</v>
      </c>
      <c r="C1058" s="2" t="s">
        <v>22</v>
      </c>
      <c r="D1058" s="2" t="s">
        <v>9</v>
      </c>
      <c r="E1058" s="2">
        <v>535.84</v>
      </c>
      <c r="F1058" s="2">
        <v>286.95999999999998</v>
      </c>
      <c r="G1058" s="4"/>
    </row>
    <row r="1059" spans="1:7">
      <c r="A1059" s="2" t="s">
        <v>1076</v>
      </c>
      <c r="B1059" s="3">
        <v>45984</v>
      </c>
      <c r="C1059" s="2" t="s">
        <v>11</v>
      </c>
      <c r="D1059" s="2" t="s">
        <v>32</v>
      </c>
      <c r="E1059" s="2"/>
      <c r="F1059" s="2"/>
      <c r="G1059" s="4"/>
    </row>
    <row r="1060" spans="1:7">
      <c r="A1060" s="2" t="s">
        <v>1077</v>
      </c>
      <c r="B1060" s="3">
        <v>45985</v>
      </c>
      <c r="C1060" s="2" t="s">
        <v>21</v>
      </c>
      <c r="D1060" s="2" t="s">
        <v>8</v>
      </c>
      <c r="E1060" s="2" t="s">
        <v>18</v>
      </c>
      <c r="F1060" s="2">
        <v>953.7</v>
      </c>
      <c r="G1060" s="2"/>
    </row>
    <row r="1061" spans="1:7">
      <c r="A1061" s="2" t="s">
        <v>1078</v>
      </c>
      <c r="B1061" s="3">
        <v>45986</v>
      </c>
      <c r="C1061" s="2" t="s">
        <v>27</v>
      </c>
      <c r="D1061" s="2" t="s">
        <v>11</v>
      </c>
      <c r="E1061" s="2" t="s">
        <v>32</v>
      </c>
      <c r="F1061" s="2"/>
      <c r="G1061" s="2">
        <v>-59.93</v>
      </c>
    </row>
    <row r="1062" spans="1:7">
      <c r="A1062" s="2" t="s">
        <v>1079</v>
      </c>
      <c r="B1062" s="3">
        <v>45987</v>
      </c>
      <c r="C1062" s="2" t="s">
        <v>16</v>
      </c>
      <c r="D1062" s="2"/>
      <c r="E1062" s="2" t="s">
        <v>14</v>
      </c>
      <c r="F1062" s="2">
        <v>575.35</v>
      </c>
      <c r="G1062" s="2">
        <v>-81.34</v>
      </c>
    </row>
    <row r="1063" spans="1:7">
      <c r="A1063" s="2" t="s">
        <v>1080</v>
      </c>
      <c r="B1063" s="3">
        <v>45988</v>
      </c>
      <c r="C1063" s="2" t="s">
        <v>16</v>
      </c>
      <c r="D1063" s="2" t="s">
        <v>22</v>
      </c>
      <c r="E1063" s="2" t="s">
        <v>9</v>
      </c>
      <c r="F1063" s="2"/>
      <c r="G1063" s="2"/>
    </row>
    <row r="1064" spans="1:7">
      <c r="A1064" s="2" t="s">
        <v>1081</v>
      </c>
      <c r="B1064" s="3">
        <v>45989</v>
      </c>
      <c r="C1064" s="2" t="s">
        <v>13</v>
      </c>
      <c r="D1064" s="2" t="s">
        <v>8</v>
      </c>
      <c r="E1064" s="2" t="s">
        <v>18</v>
      </c>
      <c r="F1064" s="2"/>
      <c r="G1064" s="2">
        <v>-191.04</v>
      </c>
    </row>
    <row r="1065" spans="1:7">
      <c r="A1065" s="2" t="s">
        <v>1082</v>
      </c>
      <c r="B1065" s="3">
        <v>45990</v>
      </c>
      <c r="C1065" s="2" t="s">
        <v>21</v>
      </c>
      <c r="D1065" s="2" t="s">
        <v>22</v>
      </c>
      <c r="E1065" s="2" t="s">
        <v>18</v>
      </c>
      <c r="F1065" s="2">
        <v>907.21</v>
      </c>
      <c r="G1065" s="2">
        <v>63.41</v>
      </c>
    </row>
    <row r="1066" spans="1:7">
      <c r="A1066" s="2" t="s">
        <v>1083</v>
      </c>
      <c r="B1066" s="3">
        <v>45991</v>
      </c>
      <c r="C1066" s="2" t="s">
        <v>16</v>
      </c>
      <c r="D1066" s="2" t="s">
        <v>11</v>
      </c>
      <c r="E1066" s="2" t="s">
        <v>24</v>
      </c>
      <c r="F1066" s="2">
        <v>889</v>
      </c>
      <c r="G1066" s="2"/>
    </row>
    <row r="1067" spans="1:7">
      <c r="A1067" s="2" t="s">
        <v>1084</v>
      </c>
      <c r="B1067" s="3">
        <v>45992</v>
      </c>
      <c r="C1067" s="2" t="s">
        <v>16</v>
      </c>
      <c r="D1067" s="2" t="s">
        <v>22</v>
      </c>
      <c r="E1067" s="2" t="s">
        <v>18</v>
      </c>
      <c r="F1067" s="2"/>
      <c r="G1067" s="2"/>
    </row>
    <row r="1068" spans="1:7">
      <c r="A1068" s="2" t="s">
        <v>1085</v>
      </c>
      <c r="B1068" s="3">
        <v>45993</v>
      </c>
      <c r="C1068" s="2" t="s">
        <v>16</v>
      </c>
      <c r="D1068" s="2"/>
      <c r="E1068" s="2" t="s">
        <v>9</v>
      </c>
      <c r="F1068" s="2"/>
      <c r="G1068" s="2"/>
    </row>
    <row r="1069" spans="1:7">
      <c r="A1069" s="2" t="s">
        <v>1086</v>
      </c>
      <c r="B1069" s="3">
        <v>45994</v>
      </c>
      <c r="C1069" s="2" t="s">
        <v>16</v>
      </c>
      <c r="D1069" s="2" t="s">
        <v>11</v>
      </c>
      <c r="E1069" s="2" t="s">
        <v>9</v>
      </c>
      <c r="F1069" s="2"/>
      <c r="G1069" s="2">
        <v>-15.21</v>
      </c>
    </row>
    <row r="1070" spans="1:7">
      <c r="A1070" s="2" t="s">
        <v>1087</v>
      </c>
      <c r="B1070" s="3">
        <v>45995</v>
      </c>
      <c r="C1070" s="2" t="s">
        <v>27</v>
      </c>
      <c r="D1070" s="2" t="s">
        <v>22</v>
      </c>
      <c r="E1070" s="2" t="s">
        <v>9</v>
      </c>
      <c r="F1070" s="2"/>
      <c r="G1070" s="2"/>
    </row>
    <row r="1071" spans="1:7">
      <c r="A1071" s="2" t="s">
        <v>1088</v>
      </c>
      <c r="B1071" s="3">
        <v>45996</v>
      </c>
      <c r="C1071" s="2"/>
      <c r="D1071" s="2" t="s">
        <v>32</v>
      </c>
      <c r="E1071" s="2"/>
      <c r="F1071" s="2"/>
      <c r="G1071" s="4"/>
    </row>
    <row r="1072" spans="1:7">
      <c r="A1072" s="2" t="s">
        <v>1089</v>
      </c>
      <c r="B1072" s="3">
        <v>45997</v>
      </c>
      <c r="C1072" s="2" t="s">
        <v>22</v>
      </c>
      <c r="D1072" s="2"/>
      <c r="E1072" s="2">
        <v>284.64999999999998</v>
      </c>
      <c r="F1072" s="2">
        <v>66.63</v>
      </c>
      <c r="G1072" s="4"/>
    </row>
    <row r="1073" spans="1:7">
      <c r="A1073" s="2" t="s">
        <v>1090</v>
      </c>
      <c r="B1073" s="3">
        <v>45998</v>
      </c>
      <c r="C1073" s="2" t="s">
        <v>27</v>
      </c>
      <c r="D1073" s="2" t="s">
        <v>8</v>
      </c>
      <c r="E1073" s="2" t="s">
        <v>9</v>
      </c>
      <c r="F1073" s="2">
        <v>243.35</v>
      </c>
      <c r="G1073" s="2"/>
    </row>
    <row r="1074" spans="1:7">
      <c r="A1074" s="2" t="s">
        <v>1091</v>
      </c>
      <c r="B1074" s="3">
        <v>45999</v>
      </c>
      <c r="C1074" s="2" t="s">
        <v>27</v>
      </c>
      <c r="D1074" s="2" t="s">
        <v>11</v>
      </c>
      <c r="E1074" s="2" t="s">
        <v>14</v>
      </c>
      <c r="F1074" s="2"/>
      <c r="G1074" s="2"/>
    </row>
    <row r="1075" spans="1:7">
      <c r="A1075" s="2" t="s">
        <v>1092</v>
      </c>
      <c r="B1075" s="3">
        <v>46000</v>
      </c>
      <c r="C1075" s="2" t="s">
        <v>27</v>
      </c>
      <c r="D1075" s="2"/>
      <c r="E1075" s="2" t="s">
        <v>14</v>
      </c>
      <c r="F1075" s="2"/>
      <c r="G1075" s="2">
        <v>22.91</v>
      </c>
    </row>
    <row r="1076" spans="1:7">
      <c r="A1076" s="2" t="s">
        <v>1093</v>
      </c>
      <c r="B1076" s="3">
        <v>46001</v>
      </c>
      <c r="C1076" s="2" t="s">
        <v>21</v>
      </c>
      <c r="D1076" s="2" t="s">
        <v>11</v>
      </c>
      <c r="E1076" s="2" t="s">
        <v>14</v>
      </c>
      <c r="F1076" s="2">
        <v>952.2</v>
      </c>
      <c r="G1076" s="2">
        <v>229.8</v>
      </c>
    </row>
    <row r="1077" spans="1:7">
      <c r="A1077" s="2" t="s">
        <v>1094</v>
      </c>
      <c r="B1077" s="3">
        <v>46002</v>
      </c>
      <c r="C1077" s="2"/>
      <c r="D1077" s="2" t="s">
        <v>32</v>
      </c>
      <c r="E1077" s="2"/>
      <c r="F1077" s="2">
        <v>2.4500000000000002</v>
      </c>
      <c r="G1077" s="4"/>
    </row>
    <row r="1078" spans="1:7">
      <c r="A1078" s="2" t="s">
        <v>1095</v>
      </c>
      <c r="B1078" s="3">
        <v>46003</v>
      </c>
      <c r="C1078" s="2" t="s">
        <v>13</v>
      </c>
      <c r="D1078" s="2"/>
      <c r="E1078" s="2" t="s">
        <v>14</v>
      </c>
      <c r="F1078" s="2"/>
      <c r="G1078" s="2">
        <v>176.18</v>
      </c>
    </row>
    <row r="1079" spans="1:7">
      <c r="A1079" s="2" t="s">
        <v>1096</v>
      </c>
      <c r="B1079" s="3">
        <v>46004</v>
      </c>
      <c r="C1079" s="2" t="s">
        <v>27</v>
      </c>
      <c r="D1079" s="2" t="s">
        <v>22</v>
      </c>
      <c r="E1079" s="2" t="s">
        <v>9</v>
      </c>
      <c r="F1079" s="2">
        <v>425.88</v>
      </c>
      <c r="G1079" s="2">
        <v>69.52</v>
      </c>
    </row>
    <row r="1080" spans="1:7">
      <c r="A1080" s="2" t="s">
        <v>1097</v>
      </c>
      <c r="B1080" s="3">
        <v>46005</v>
      </c>
      <c r="C1080" s="2" t="s">
        <v>27</v>
      </c>
      <c r="D1080" s="2" t="s">
        <v>11</v>
      </c>
      <c r="E1080" s="2" t="s">
        <v>9</v>
      </c>
      <c r="F1080" s="2">
        <v>443.83</v>
      </c>
      <c r="G1080" s="2"/>
    </row>
    <row r="1081" spans="1:7">
      <c r="A1081" s="2" t="s">
        <v>1098</v>
      </c>
      <c r="B1081" s="3">
        <v>46006</v>
      </c>
      <c r="C1081" s="2" t="s">
        <v>21</v>
      </c>
      <c r="D1081" s="2" t="s">
        <v>22</v>
      </c>
      <c r="E1081" s="2"/>
      <c r="F1081" s="2">
        <v>911.61</v>
      </c>
      <c r="G1081" s="2"/>
    </row>
    <row r="1082" spans="1:7">
      <c r="A1082" s="2" t="s">
        <v>1099</v>
      </c>
      <c r="B1082" s="3">
        <v>46007</v>
      </c>
      <c r="C1082" s="2" t="s">
        <v>27</v>
      </c>
      <c r="D1082" s="2" t="s">
        <v>11</v>
      </c>
      <c r="E1082" s="2"/>
      <c r="F1082" s="2"/>
      <c r="G1082" s="2"/>
    </row>
    <row r="1083" spans="1:7">
      <c r="A1083" s="2" t="s">
        <v>1100</v>
      </c>
      <c r="B1083" s="3">
        <v>46008</v>
      </c>
      <c r="C1083" s="2" t="s">
        <v>13</v>
      </c>
      <c r="D1083" s="2" t="s">
        <v>22</v>
      </c>
      <c r="E1083" s="2" t="s">
        <v>9</v>
      </c>
      <c r="F1083" s="2">
        <v>975.83</v>
      </c>
      <c r="G1083" s="2"/>
    </row>
    <row r="1084" spans="1:7">
      <c r="A1084" s="2" t="s">
        <v>1101</v>
      </c>
      <c r="B1084" s="3">
        <v>46009</v>
      </c>
      <c r="C1084" s="2" t="s">
        <v>27</v>
      </c>
      <c r="D1084" s="2" t="s">
        <v>22</v>
      </c>
      <c r="E1084" s="2" t="s">
        <v>9</v>
      </c>
      <c r="F1084" s="2"/>
      <c r="G1084" s="2">
        <v>233.39</v>
      </c>
    </row>
    <row r="1085" spans="1:7">
      <c r="A1085" s="2" t="s">
        <v>1102</v>
      </c>
      <c r="B1085" s="3">
        <v>46010</v>
      </c>
      <c r="C1085" s="2" t="s">
        <v>13</v>
      </c>
      <c r="D1085" s="2"/>
      <c r="E1085" s="2" t="s">
        <v>9</v>
      </c>
      <c r="F1085" s="2"/>
      <c r="G1085" s="2"/>
    </row>
    <row r="1086" spans="1:7">
      <c r="A1086" s="2" t="s">
        <v>1103</v>
      </c>
      <c r="B1086" s="3">
        <v>46011</v>
      </c>
      <c r="C1086" s="2" t="s">
        <v>27</v>
      </c>
      <c r="D1086" s="2" t="s">
        <v>22</v>
      </c>
      <c r="E1086" s="2" t="s">
        <v>14</v>
      </c>
      <c r="F1086" s="2"/>
      <c r="G1086" s="2">
        <v>-87.65</v>
      </c>
    </row>
    <row r="1087" spans="1:7">
      <c r="A1087" s="2" t="s">
        <v>1104</v>
      </c>
      <c r="B1087" s="3">
        <v>46012</v>
      </c>
      <c r="C1087" s="2" t="s">
        <v>21</v>
      </c>
      <c r="D1087" s="2" t="s">
        <v>8</v>
      </c>
      <c r="E1087" s="2" t="s">
        <v>14</v>
      </c>
      <c r="F1087" s="2">
        <v>89.78</v>
      </c>
      <c r="G1087" s="2"/>
    </row>
    <row r="1088" spans="1:7">
      <c r="A1088" s="2" t="s">
        <v>1105</v>
      </c>
      <c r="B1088" s="3">
        <v>46013</v>
      </c>
      <c r="C1088" s="2" t="s">
        <v>8</v>
      </c>
      <c r="D1088" s="2"/>
      <c r="E1088" s="2">
        <v>164.54</v>
      </c>
      <c r="F1088" s="4"/>
      <c r="G1088" s="4"/>
    </row>
    <row r="1089" spans="1:7">
      <c r="A1089" s="2" t="s">
        <v>1106</v>
      </c>
      <c r="B1089" s="3">
        <v>46014</v>
      </c>
      <c r="C1089" s="2" t="s">
        <v>21</v>
      </c>
      <c r="D1089" s="2"/>
      <c r="E1089" s="2" t="s">
        <v>24</v>
      </c>
      <c r="F1089" s="2">
        <v>771.87</v>
      </c>
      <c r="G1089" s="2">
        <v>292.11</v>
      </c>
    </row>
    <row r="1090" spans="1:7">
      <c r="A1090" s="2" t="s">
        <v>1107</v>
      </c>
      <c r="B1090" s="3">
        <v>46015</v>
      </c>
      <c r="C1090" s="2" t="s">
        <v>21</v>
      </c>
      <c r="D1090" s="2" t="s">
        <v>11</v>
      </c>
      <c r="E1090" s="2" t="s">
        <v>14</v>
      </c>
      <c r="F1090" s="2"/>
      <c r="G1090" s="2">
        <v>199.48</v>
      </c>
    </row>
    <row r="1091" spans="1:7">
      <c r="A1091" s="2" t="s">
        <v>1108</v>
      </c>
      <c r="B1091" s="3">
        <v>46016</v>
      </c>
      <c r="C1091" s="2" t="s">
        <v>27</v>
      </c>
      <c r="D1091" s="2" t="s">
        <v>11</v>
      </c>
      <c r="E1091" s="2" t="s">
        <v>32</v>
      </c>
      <c r="F1091" s="2"/>
      <c r="G1091" s="2"/>
    </row>
    <row r="1092" spans="1:7">
      <c r="A1092" s="2" t="s">
        <v>1109</v>
      </c>
      <c r="B1092" s="3">
        <v>46017</v>
      </c>
      <c r="C1092" s="2" t="s">
        <v>21</v>
      </c>
      <c r="D1092" s="2" t="s">
        <v>11</v>
      </c>
      <c r="E1092" s="2" t="s">
        <v>32</v>
      </c>
      <c r="F1092" s="2">
        <v>414.93</v>
      </c>
      <c r="G1092" s="2">
        <v>110.23</v>
      </c>
    </row>
    <row r="1093" spans="1:7">
      <c r="A1093" s="2" t="s">
        <v>1110</v>
      </c>
      <c r="B1093" s="3">
        <v>46018</v>
      </c>
      <c r="C1093" s="2" t="s">
        <v>21</v>
      </c>
      <c r="D1093" s="2" t="s">
        <v>22</v>
      </c>
      <c r="E1093" s="2" t="s">
        <v>18</v>
      </c>
      <c r="F1093" s="2">
        <v>951.92</v>
      </c>
      <c r="G1093" s="2">
        <v>283.83999999999997</v>
      </c>
    </row>
    <row r="1094" spans="1:7">
      <c r="A1094" s="2" t="s">
        <v>1111</v>
      </c>
      <c r="B1094" s="3">
        <v>46019</v>
      </c>
      <c r="C1094" s="2" t="s">
        <v>21</v>
      </c>
      <c r="D1094" s="2" t="s">
        <v>8</v>
      </c>
      <c r="E1094" s="2" t="s">
        <v>14</v>
      </c>
      <c r="F1094" s="2"/>
      <c r="G1094" s="2">
        <v>152.93</v>
      </c>
    </row>
    <row r="1095" spans="1:7">
      <c r="A1095" s="2" t="s">
        <v>1112</v>
      </c>
      <c r="B1095" s="3">
        <v>46020</v>
      </c>
      <c r="C1095" s="2" t="s">
        <v>13</v>
      </c>
      <c r="D1095" s="2"/>
      <c r="E1095" s="2" t="s">
        <v>9</v>
      </c>
      <c r="F1095" s="2"/>
      <c r="G1095" s="2"/>
    </row>
    <row r="1096" spans="1:7">
      <c r="A1096" s="2" t="s">
        <v>1113</v>
      </c>
      <c r="B1096" s="3">
        <v>46021</v>
      </c>
      <c r="C1096" s="2" t="s">
        <v>21</v>
      </c>
      <c r="D1096" s="2" t="s">
        <v>8</v>
      </c>
      <c r="E1096" s="2" t="s">
        <v>32</v>
      </c>
      <c r="F1096" s="2"/>
      <c r="G1096" s="2"/>
    </row>
    <row r="1097" spans="1:7">
      <c r="A1097" s="2" t="s">
        <v>1114</v>
      </c>
      <c r="B1097" s="3">
        <v>46022</v>
      </c>
      <c r="C1097" s="2" t="s">
        <v>16</v>
      </c>
      <c r="D1097" s="2"/>
      <c r="E1097" s="2" t="s">
        <v>9</v>
      </c>
      <c r="F1097" s="2">
        <v>881.83</v>
      </c>
      <c r="G1097" s="2"/>
    </row>
    <row r="1098" spans="1:7">
      <c r="A1098" s="2" t="s">
        <v>1115</v>
      </c>
      <c r="B1098" s="3">
        <v>46023</v>
      </c>
      <c r="C1098" s="2" t="s">
        <v>21</v>
      </c>
      <c r="D1098" s="2" t="s">
        <v>11</v>
      </c>
      <c r="E1098" s="2"/>
      <c r="F1098" s="2">
        <v>622.54</v>
      </c>
      <c r="G1098" s="2"/>
    </row>
    <row r="1099" spans="1:7">
      <c r="A1099" s="2" t="s">
        <v>1116</v>
      </c>
      <c r="B1099" s="3">
        <v>46024</v>
      </c>
      <c r="C1099" s="2" t="s">
        <v>21</v>
      </c>
      <c r="D1099" s="2" t="s">
        <v>8</v>
      </c>
      <c r="E1099" s="2" t="s">
        <v>18</v>
      </c>
      <c r="F1099" s="2"/>
      <c r="G1099" s="2">
        <v>147.30000000000001</v>
      </c>
    </row>
    <row r="1100" spans="1:7">
      <c r="A1100" s="2" t="s">
        <v>1117</v>
      </c>
      <c r="B1100" s="3">
        <v>46025</v>
      </c>
      <c r="C1100" s="2" t="s">
        <v>13</v>
      </c>
      <c r="D1100" s="2" t="s">
        <v>11</v>
      </c>
      <c r="E1100" s="2" t="s">
        <v>32</v>
      </c>
      <c r="F1100" s="2"/>
      <c r="G1100" s="2">
        <v>-31.45</v>
      </c>
    </row>
    <row r="1101" spans="1:7">
      <c r="A1101" s="2" t="s">
        <v>1118</v>
      </c>
      <c r="B1101" s="3">
        <v>46026</v>
      </c>
      <c r="C1101" s="2" t="s">
        <v>13</v>
      </c>
      <c r="D1101" s="2" t="s">
        <v>8</v>
      </c>
      <c r="E1101" s="2" t="s">
        <v>18</v>
      </c>
      <c r="F1101" s="2"/>
      <c r="G1101" s="2">
        <v>-111.78</v>
      </c>
    </row>
    <row r="1102" spans="1:7">
      <c r="A1102" s="2" t="s">
        <v>1119</v>
      </c>
      <c r="B1102" s="3">
        <v>46027</v>
      </c>
      <c r="C1102" s="2" t="s">
        <v>16</v>
      </c>
      <c r="D1102" s="2" t="s">
        <v>22</v>
      </c>
      <c r="E1102" s="2"/>
      <c r="F1102" s="2"/>
      <c r="G1102" s="2"/>
    </row>
    <row r="1103" spans="1:7">
      <c r="A1103" s="2" t="s">
        <v>1120</v>
      </c>
      <c r="B1103" s="3">
        <v>46028</v>
      </c>
      <c r="C1103" s="2" t="s">
        <v>13</v>
      </c>
      <c r="D1103" s="2" t="s">
        <v>22</v>
      </c>
      <c r="E1103" s="2" t="s">
        <v>9</v>
      </c>
      <c r="F1103" s="2"/>
      <c r="G1103" s="2">
        <v>-66.19</v>
      </c>
    </row>
    <row r="1104" spans="1:7">
      <c r="A1104" s="2" t="s">
        <v>1121</v>
      </c>
      <c r="B1104" s="3">
        <v>46029</v>
      </c>
      <c r="C1104" s="2" t="s">
        <v>16</v>
      </c>
      <c r="D1104" s="2" t="s">
        <v>11</v>
      </c>
      <c r="E1104" s="2"/>
      <c r="F1104" s="2"/>
      <c r="G1104" s="2">
        <v>232.84</v>
      </c>
    </row>
    <row r="1105" spans="1:7">
      <c r="A1105" s="2" t="s">
        <v>1122</v>
      </c>
      <c r="B1105" s="3">
        <v>46030</v>
      </c>
      <c r="C1105" s="2" t="s">
        <v>13</v>
      </c>
      <c r="D1105" s="2" t="s">
        <v>22</v>
      </c>
      <c r="E1105" s="2" t="s">
        <v>14</v>
      </c>
      <c r="F1105" s="2"/>
      <c r="G1105" s="2">
        <v>114.52</v>
      </c>
    </row>
    <row r="1106" spans="1:7">
      <c r="A1106" s="2" t="s">
        <v>1123</v>
      </c>
      <c r="B1106" s="3">
        <v>46031</v>
      </c>
      <c r="C1106" s="2" t="s">
        <v>13</v>
      </c>
      <c r="D1106" s="2" t="s">
        <v>8</v>
      </c>
      <c r="E1106" s="2" t="s">
        <v>32</v>
      </c>
      <c r="F1106" s="2">
        <v>925.87</v>
      </c>
      <c r="G1106" s="2">
        <v>246.29</v>
      </c>
    </row>
    <row r="1107" spans="1:7">
      <c r="A1107" s="2" t="s">
        <v>1124</v>
      </c>
      <c r="B1107" s="3">
        <v>46032</v>
      </c>
      <c r="C1107" s="2" t="s">
        <v>27</v>
      </c>
      <c r="D1107" s="2"/>
      <c r="E1107" s="2" t="s">
        <v>18</v>
      </c>
      <c r="F1107" s="2"/>
      <c r="G1107" s="2">
        <v>271.52</v>
      </c>
    </row>
    <row r="1108" spans="1:7">
      <c r="A1108" s="2" t="s">
        <v>1125</v>
      </c>
      <c r="B1108" s="3">
        <v>46033</v>
      </c>
      <c r="C1108" s="2" t="s">
        <v>21</v>
      </c>
      <c r="D1108" s="2" t="s">
        <v>22</v>
      </c>
      <c r="E1108" s="2"/>
      <c r="F1108" s="2"/>
      <c r="G1108" s="2"/>
    </row>
    <row r="1109" spans="1:7">
      <c r="A1109" s="2" t="s">
        <v>1126</v>
      </c>
      <c r="B1109" s="3">
        <v>46034</v>
      </c>
      <c r="C1109" s="2" t="s">
        <v>11</v>
      </c>
      <c r="D1109" s="2" t="s">
        <v>14</v>
      </c>
      <c r="E1109" s="2">
        <v>563.58000000000004</v>
      </c>
      <c r="F1109" s="2"/>
      <c r="G1109" s="4"/>
    </row>
    <row r="1110" spans="1:7">
      <c r="A1110" s="2" t="s">
        <v>1127</v>
      </c>
      <c r="B1110" s="3">
        <v>46035</v>
      </c>
      <c r="C1110" s="2" t="s">
        <v>13</v>
      </c>
      <c r="D1110" s="2"/>
      <c r="E1110" s="2" t="s">
        <v>32</v>
      </c>
      <c r="F1110" s="2"/>
      <c r="G1110" s="2">
        <v>124.76</v>
      </c>
    </row>
    <row r="1111" spans="1:7">
      <c r="A1111" s="2" t="s">
        <v>1128</v>
      </c>
      <c r="B1111" s="3">
        <v>46036</v>
      </c>
      <c r="C1111" s="2" t="s">
        <v>13</v>
      </c>
      <c r="D1111" s="2" t="s">
        <v>11</v>
      </c>
      <c r="E1111" s="2" t="s">
        <v>18</v>
      </c>
      <c r="F1111" s="2">
        <v>909.17</v>
      </c>
      <c r="G1111" s="2">
        <v>93.86</v>
      </c>
    </row>
    <row r="1112" spans="1:7">
      <c r="A1112" s="2" t="s">
        <v>1129</v>
      </c>
      <c r="B1112" s="3">
        <v>46037</v>
      </c>
      <c r="C1112" s="2" t="s">
        <v>22</v>
      </c>
      <c r="D1112" s="2" t="s">
        <v>9</v>
      </c>
      <c r="E1112" s="2">
        <v>804.38</v>
      </c>
      <c r="F1112" s="2">
        <v>-186.46</v>
      </c>
      <c r="G1112" s="4"/>
    </row>
    <row r="1113" spans="1:7">
      <c r="A1113" s="2" t="s">
        <v>1130</v>
      </c>
      <c r="B1113" s="3">
        <v>46038</v>
      </c>
      <c r="C1113" s="2" t="s">
        <v>21</v>
      </c>
      <c r="D1113" s="2"/>
      <c r="E1113" s="2" t="s">
        <v>24</v>
      </c>
      <c r="F1113" s="2"/>
      <c r="G1113" s="2"/>
    </row>
    <row r="1114" spans="1:7">
      <c r="A1114" s="2" t="s">
        <v>1131</v>
      </c>
      <c r="B1114" s="3">
        <v>46039</v>
      </c>
      <c r="C1114" s="2" t="s">
        <v>13</v>
      </c>
      <c r="D1114" s="2" t="s">
        <v>8</v>
      </c>
      <c r="E1114" s="2" t="s">
        <v>18</v>
      </c>
      <c r="F1114" s="2"/>
      <c r="G1114" s="2"/>
    </row>
    <row r="1115" spans="1:7">
      <c r="A1115" s="2" t="s">
        <v>1132</v>
      </c>
      <c r="B1115" s="3">
        <v>46040</v>
      </c>
      <c r="C1115" s="2" t="s">
        <v>21</v>
      </c>
      <c r="D1115" s="2"/>
      <c r="E1115" s="2"/>
      <c r="F1115" s="2">
        <v>574.47</v>
      </c>
      <c r="G1115" s="2"/>
    </row>
    <row r="1116" spans="1:7">
      <c r="A1116" s="2" t="s">
        <v>1133</v>
      </c>
      <c r="B1116" s="3">
        <v>46041</v>
      </c>
      <c r="C1116" s="2" t="s">
        <v>13</v>
      </c>
      <c r="D1116" s="2" t="s">
        <v>11</v>
      </c>
      <c r="E1116" s="2" t="s">
        <v>14</v>
      </c>
      <c r="F1116" s="2"/>
      <c r="G1116" s="2">
        <v>-91.99</v>
      </c>
    </row>
    <row r="1117" spans="1:7">
      <c r="A1117" s="2" t="s">
        <v>1134</v>
      </c>
      <c r="B1117" s="3">
        <v>46042</v>
      </c>
      <c r="C1117" s="2" t="s">
        <v>21</v>
      </c>
      <c r="D1117" s="2"/>
      <c r="E1117" s="2" t="s">
        <v>18</v>
      </c>
      <c r="F1117" s="2">
        <v>419.28</v>
      </c>
      <c r="G1117" s="2"/>
    </row>
    <row r="1118" spans="1:7">
      <c r="A1118" s="2" t="s">
        <v>1135</v>
      </c>
      <c r="B1118" s="3">
        <v>46043</v>
      </c>
      <c r="C1118" s="2" t="s">
        <v>27</v>
      </c>
      <c r="D1118" s="2"/>
      <c r="E1118" s="2" t="s">
        <v>9</v>
      </c>
      <c r="F1118" s="2"/>
      <c r="G1118" s="2"/>
    </row>
    <row r="1119" spans="1:7">
      <c r="A1119" s="2" t="s">
        <v>1136</v>
      </c>
      <c r="B1119" s="3">
        <v>46044</v>
      </c>
      <c r="C1119" s="2" t="s">
        <v>13</v>
      </c>
      <c r="D1119" s="2" t="s">
        <v>11</v>
      </c>
      <c r="E1119" s="2" t="s">
        <v>18</v>
      </c>
      <c r="F1119" s="2"/>
      <c r="G1119" s="2"/>
    </row>
    <row r="1120" spans="1:7">
      <c r="A1120" s="2" t="s">
        <v>1137</v>
      </c>
      <c r="B1120" s="3">
        <v>46045</v>
      </c>
      <c r="C1120" s="2" t="s">
        <v>27</v>
      </c>
      <c r="D1120" s="2" t="s">
        <v>8</v>
      </c>
      <c r="E1120" s="2" t="s">
        <v>14</v>
      </c>
      <c r="F1120" s="2"/>
      <c r="G1120" s="2"/>
    </row>
    <row r="1121" spans="1:7">
      <c r="A1121" s="2" t="s">
        <v>1138</v>
      </c>
      <c r="B1121" s="3">
        <v>46046</v>
      </c>
      <c r="C1121" s="2" t="s">
        <v>27</v>
      </c>
      <c r="D1121" s="2" t="s">
        <v>11</v>
      </c>
      <c r="E1121" s="2" t="s">
        <v>18</v>
      </c>
      <c r="F1121" s="2"/>
      <c r="G1121" s="2"/>
    </row>
    <row r="1122" spans="1:7">
      <c r="A1122" s="2" t="s">
        <v>1139</v>
      </c>
      <c r="B1122" s="3">
        <v>46047</v>
      </c>
      <c r="C1122" s="2" t="s">
        <v>13</v>
      </c>
      <c r="D1122" s="2"/>
      <c r="E1122" s="2" t="s">
        <v>14</v>
      </c>
      <c r="F1122" s="2"/>
      <c r="G1122" s="2">
        <v>-197.36</v>
      </c>
    </row>
    <row r="1123" spans="1:7">
      <c r="A1123" s="2" t="s">
        <v>1140</v>
      </c>
      <c r="B1123" s="3">
        <v>46048</v>
      </c>
      <c r="C1123" s="2" t="s">
        <v>16</v>
      </c>
      <c r="D1123" s="2" t="s">
        <v>11</v>
      </c>
      <c r="E1123" s="2" t="s">
        <v>18</v>
      </c>
      <c r="F1123" s="2"/>
      <c r="G1123" s="2"/>
    </row>
    <row r="1124" spans="1:7">
      <c r="A1124" s="2" t="s">
        <v>1141</v>
      </c>
      <c r="B1124" s="3">
        <v>46049</v>
      </c>
      <c r="C1124" s="2" t="s">
        <v>13</v>
      </c>
      <c r="D1124" s="2" t="s">
        <v>8</v>
      </c>
      <c r="E1124" s="2">
        <v>259.5</v>
      </c>
      <c r="F1124" s="2"/>
      <c r="G1124" s="4"/>
    </row>
    <row r="1125" spans="1:7">
      <c r="A1125" s="2" t="s">
        <v>1142</v>
      </c>
      <c r="B1125" s="3">
        <v>46050</v>
      </c>
      <c r="C1125" s="2" t="s">
        <v>16</v>
      </c>
      <c r="D1125" s="2" t="s">
        <v>22</v>
      </c>
      <c r="E1125" s="2" t="s">
        <v>9</v>
      </c>
      <c r="F1125" s="2"/>
      <c r="G1125" s="2"/>
    </row>
    <row r="1126" spans="1:7">
      <c r="A1126" s="2" t="s">
        <v>1143</v>
      </c>
      <c r="B1126" s="3">
        <v>46051</v>
      </c>
      <c r="C1126" s="2" t="s">
        <v>21</v>
      </c>
      <c r="D1126" s="2" t="s">
        <v>8</v>
      </c>
      <c r="E1126" s="2" t="s">
        <v>9</v>
      </c>
      <c r="F1126" s="2"/>
      <c r="G1126" s="2"/>
    </row>
    <row r="1127" spans="1:7">
      <c r="A1127" s="2" t="s">
        <v>1144</v>
      </c>
      <c r="B1127" s="3">
        <v>46052</v>
      </c>
      <c r="C1127" s="2" t="s">
        <v>16</v>
      </c>
      <c r="D1127" s="2" t="s">
        <v>22</v>
      </c>
      <c r="E1127" s="2"/>
      <c r="F1127" s="2">
        <v>228.48</v>
      </c>
      <c r="G1127" s="2">
        <v>157.35</v>
      </c>
    </row>
    <row r="1128" spans="1:7">
      <c r="A1128" s="2" t="s">
        <v>1145</v>
      </c>
      <c r="B1128" s="3">
        <v>46053</v>
      </c>
      <c r="C1128" s="2" t="s">
        <v>16</v>
      </c>
      <c r="D1128" s="2" t="s">
        <v>22</v>
      </c>
      <c r="E1128" s="2" t="s">
        <v>32</v>
      </c>
      <c r="F1128" s="2">
        <v>873.4</v>
      </c>
      <c r="G1128" s="2">
        <v>-26.09</v>
      </c>
    </row>
    <row r="1129" spans="1:7">
      <c r="A1129" s="2" t="s">
        <v>1146</v>
      </c>
      <c r="B1129" s="3">
        <v>46054</v>
      </c>
      <c r="C1129" s="2" t="s">
        <v>16</v>
      </c>
      <c r="D1129" s="2" t="s">
        <v>22</v>
      </c>
      <c r="E1129" s="2" t="s">
        <v>32</v>
      </c>
      <c r="F1129" s="2"/>
      <c r="G1129" s="2">
        <v>275.73</v>
      </c>
    </row>
    <row r="1130" spans="1:7">
      <c r="A1130" s="2" t="s">
        <v>1147</v>
      </c>
      <c r="B1130" s="3">
        <v>46055</v>
      </c>
      <c r="C1130" s="2" t="s">
        <v>27</v>
      </c>
      <c r="D1130" s="2" t="s">
        <v>11</v>
      </c>
      <c r="E1130" s="2" t="s">
        <v>24</v>
      </c>
      <c r="F1130" s="2"/>
      <c r="G1130" s="2"/>
    </row>
    <row r="1131" spans="1:7">
      <c r="A1131" s="2" t="s">
        <v>1148</v>
      </c>
      <c r="B1131" s="3">
        <v>46056</v>
      </c>
      <c r="C1131" s="2" t="s">
        <v>27</v>
      </c>
      <c r="D1131" s="2" t="s">
        <v>11</v>
      </c>
      <c r="E1131" s="2" t="s">
        <v>14</v>
      </c>
      <c r="F1131" s="2">
        <v>468.39</v>
      </c>
      <c r="G1131" s="2">
        <v>12.99</v>
      </c>
    </row>
    <row r="1132" spans="1:7">
      <c r="A1132" s="2" t="s">
        <v>1149</v>
      </c>
      <c r="B1132" s="3">
        <v>46057</v>
      </c>
      <c r="C1132" s="2" t="s">
        <v>21</v>
      </c>
      <c r="D1132" s="2" t="s">
        <v>8</v>
      </c>
      <c r="E1132" s="2"/>
      <c r="F1132" s="2"/>
      <c r="G1132" s="4"/>
    </row>
    <row r="1133" spans="1:7">
      <c r="A1133" s="2" t="s">
        <v>1150</v>
      </c>
      <c r="B1133" s="3">
        <v>46058</v>
      </c>
      <c r="C1133" s="2" t="s">
        <v>16</v>
      </c>
      <c r="D1133" s="2"/>
      <c r="E1133" s="2" t="s">
        <v>18</v>
      </c>
      <c r="F1133" s="2"/>
      <c r="G1133" s="2"/>
    </row>
    <row r="1134" spans="1:7">
      <c r="A1134" s="2" t="s">
        <v>1151</v>
      </c>
      <c r="B1134" s="3">
        <v>46059</v>
      </c>
      <c r="C1134" s="2" t="s">
        <v>27</v>
      </c>
      <c r="D1134" s="2" t="s">
        <v>11</v>
      </c>
      <c r="E1134" s="2" t="s">
        <v>14</v>
      </c>
      <c r="F1134" s="2">
        <v>473.15</v>
      </c>
      <c r="G1134" s="2">
        <v>185.81</v>
      </c>
    </row>
    <row r="1135" spans="1:7">
      <c r="A1135" s="2" t="s">
        <v>1152</v>
      </c>
      <c r="B1135" s="3">
        <v>46060</v>
      </c>
      <c r="C1135" s="2"/>
      <c r="D1135" s="2" t="s">
        <v>9</v>
      </c>
      <c r="E1135" s="2"/>
      <c r="F1135" s="2"/>
      <c r="G1135" s="4"/>
    </row>
    <row r="1136" spans="1:7">
      <c r="A1136" s="2" t="s">
        <v>1153</v>
      </c>
      <c r="B1136" s="3">
        <v>46061</v>
      </c>
      <c r="C1136" s="2" t="s">
        <v>13</v>
      </c>
      <c r="D1136" s="2" t="s">
        <v>11</v>
      </c>
      <c r="E1136" s="2" t="s">
        <v>18</v>
      </c>
      <c r="F1136" s="2">
        <v>838.98</v>
      </c>
      <c r="G1136" s="2">
        <v>-129.41</v>
      </c>
    </row>
    <row r="1137" spans="1:7">
      <c r="A1137" s="2" t="s">
        <v>1154</v>
      </c>
      <c r="B1137" s="3">
        <v>46062</v>
      </c>
      <c r="C1137" s="2" t="s">
        <v>13</v>
      </c>
      <c r="D1137" s="2" t="s">
        <v>8</v>
      </c>
      <c r="E1137" s="2" t="s">
        <v>14</v>
      </c>
      <c r="F1137" s="2"/>
      <c r="G1137" s="2">
        <v>128.27000000000001</v>
      </c>
    </row>
    <row r="1138" spans="1:7">
      <c r="A1138" s="2" t="s">
        <v>1155</v>
      </c>
      <c r="B1138" s="3">
        <v>46063</v>
      </c>
      <c r="C1138" s="2" t="s">
        <v>8</v>
      </c>
      <c r="D1138" s="2">
        <v>271.88</v>
      </c>
      <c r="E1138" s="2">
        <v>-72.56</v>
      </c>
      <c r="F1138" s="4"/>
      <c r="G1138" s="4"/>
    </row>
    <row r="1139" spans="1:7">
      <c r="A1139" s="2" t="s">
        <v>1156</v>
      </c>
      <c r="B1139" s="3">
        <v>46064</v>
      </c>
      <c r="C1139" s="2" t="s">
        <v>16</v>
      </c>
      <c r="D1139" s="2" t="s">
        <v>11</v>
      </c>
      <c r="E1139" s="2" t="s">
        <v>9</v>
      </c>
      <c r="F1139" s="2">
        <v>814.65</v>
      </c>
      <c r="G1139" s="2"/>
    </row>
    <row r="1140" spans="1:7">
      <c r="A1140" s="2" t="s">
        <v>1157</v>
      </c>
      <c r="B1140" s="3">
        <v>46065</v>
      </c>
      <c r="C1140" s="2" t="s">
        <v>11</v>
      </c>
      <c r="D1140" s="2" t="s">
        <v>9</v>
      </c>
      <c r="E1140" s="2"/>
      <c r="F1140" s="2"/>
      <c r="G1140" s="4"/>
    </row>
    <row r="1141" spans="1:7">
      <c r="A1141" s="2" t="s">
        <v>1158</v>
      </c>
      <c r="B1141" s="3">
        <v>46066</v>
      </c>
      <c r="C1141" s="2" t="s">
        <v>27</v>
      </c>
      <c r="D1141" s="2" t="s">
        <v>22</v>
      </c>
      <c r="E1141" s="2" t="s">
        <v>14</v>
      </c>
      <c r="F1141" s="2">
        <v>474.64</v>
      </c>
      <c r="G1141" s="2">
        <v>233.36</v>
      </c>
    </row>
    <row r="1142" spans="1:7">
      <c r="A1142" s="2" t="s">
        <v>1159</v>
      </c>
      <c r="B1142" s="3">
        <v>46067</v>
      </c>
      <c r="C1142" s="2" t="s">
        <v>27</v>
      </c>
      <c r="D1142" s="2"/>
      <c r="E1142" s="2"/>
      <c r="F1142" s="2"/>
      <c r="G1142" s="2">
        <v>221.8</v>
      </c>
    </row>
    <row r="1143" spans="1:7">
      <c r="A1143" s="2" t="s">
        <v>1160</v>
      </c>
      <c r="B1143" s="3">
        <v>46068</v>
      </c>
      <c r="C1143" s="2" t="s">
        <v>27</v>
      </c>
      <c r="D1143" s="2" t="s">
        <v>8</v>
      </c>
      <c r="E1143" s="2" t="s">
        <v>24</v>
      </c>
      <c r="F1143" s="2"/>
      <c r="G1143" s="2"/>
    </row>
    <row r="1144" spans="1:7">
      <c r="A1144" s="2" t="s">
        <v>1161</v>
      </c>
      <c r="B1144" s="3">
        <v>46069</v>
      </c>
      <c r="C1144" s="2"/>
      <c r="D1144" s="2" t="s">
        <v>9</v>
      </c>
      <c r="E1144" s="2">
        <v>190.44</v>
      </c>
      <c r="F1144" s="2"/>
      <c r="G1144" s="4"/>
    </row>
    <row r="1145" spans="1:7">
      <c r="A1145" s="2" t="s">
        <v>1162</v>
      </c>
      <c r="B1145" s="3">
        <v>46070</v>
      </c>
      <c r="C1145" s="2" t="s">
        <v>21</v>
      </c>
      <c r="D1145" s="2" t="s">
        <v>8</v>
      </c>
      <c r="E1145" s="2" t="s">
        <v>32</v>
      </c>
      <c r="F1145" s="2"/>
      <c r="G1145" s="2"/>
    </row>
    <row r="1146" spans="1:7">
      <c r="A1146" s="2" t="s">
        <v>1163</v>
      </c>
      <c r="B1146" s="3">
        <v>46071</v>
      </c>
      <c r="C1146" s="2"/>
      <c r="D1146" s="2" t="s">
        <v>24</v>
      </c>
      <c r="E1146" s="2">
        <v>580.94000000000005</v>
      </c>
      <c r="F1146" s="2"/>
      <c r="G1146" s="4"/>
    </row>
    <row r="1147" spans="1:7">
      <c r="A1147" s="2" t="s">
        <v>1164</v>
      </c>
      <c r="B1147" s="3">
        <v>46072</v>
      </c>
      <c r="C1147" s="2" t="s">
        <v>27</v>
      </c>
      <c r="D1147" s="2" t="s">
        <v>11</v>
      </c>
      <c r="E1147" s="2" t="s">
        <v>18</v>
      </c>
      <c r="F1147" s="2"/>
      <c r="G1147" s="2">
        <v>-164.3</v>
      </c>
    </row>
    <row r="1148" spans="1:7">
      <c r="A1148" s="2" t="s">
        <v>1165</v>
      </c>
      <c r="B1148" s="3">
        <v>46073</v>
      </c>
      <c r="C1148" s="2" t="s">
        <v>27</v>
      </c>
      <c r="D1148" s="2" t="s">
        <v>11</v>
      </c>
      <c r="E1148" s="2" t="s">
        <v>24</v>
      </c>
      <c r="F1148" s="2"/>
      <c r="G1148" s="2">
        <v>222.42</v>
      </c>
    </row>
    <row r="1149" spans="1:7">
      <c r="A1149" s="2" t="s">
        <v>1166</v>
      </c>
      <c r="B1149" s="3">
        <v>46074</v>
      </c>
      <c r="C1149" s="2" t="s">
        <v>21</v>
      </c>
      <c r="D1149" s="2"/>
      <c r="E1149" s="2" t="s">
        <v>18</v>
      </c>
      <c r="F1149" s="2">
        <v>279.56</v>
      </c>
      <c r="G1149" s="2"/>
    </row>
    <row r="1150" spans="1:7">
      <c r="A1150" s="2" t="s">
        <v>1167</v>
      </c>
      <c r="B1150" s="3">
        <v>46075</v>
      </c>
      <c r="C1150" s="2" t="s">
        <v>13</v>
      </c>
      <c r="D1150" s="2" t="s">
        <v>22</v>
      </c>
      <c r="E1150" s="2" t="s">
        <v>9</v>
      </c>
      <c r="F1150" s="2">
        <v>536.32000000000005</v>
      </c>
      <c r="G1150" s="2"/>
    </row>
    <row r="1151" spans="1:7">
      <c r="A1151" s="2" t="s">
        <v>1168</v>
      </c>
      <c r="B1151" s="3">
        <v>46076</v>
      </c>
      <c r="C1151" s="2" t="s">
        <v>13</v>
      </c>
      <c r="D1151" s="2"/>
      <c r="E1151" s="2" t="s">
        <v>24</v>
      </c>
      <c r="F1151" s="2"/>
      <c r="G1151" s="2"/>
    </row>
    <row r="1152" spans="1:7">
      <c r="A1152" s="2" t="s">
        <v>1169</v>
      </c>
      <c r="B1152" s="3">
        <v>46077</v>
      </c>
      <c r="C1152" s="2" t="s">
        <v>16</v>
      </c>
      <c r="D1152" s="2" t="s">
        <v>22</v>
      </c>
      <c r="E1152" s="2" t="s">
        <v>18</v>
      </c>
      <c r="F1152" s="2">
        <v>531.63</v>
      </c>
      <c r="G1152" s="2"/>
    </row>
    <row r="1153" spans="1:7">
      <c r="A1153" s="2" t="s">
        <v>1170</v>
      </c>
      <c r="B1153" s="3">
        <v>46078</v>
      </c>
      <c r="C1153" s="2" t="s">
        <v>21</v>
      </c>
      <c r="D1153" s="2" t="s">
        <v>22</v>
      </c>
      <c r="E1153" s="2" t="s">
        <v>9</v>
      </c>
      <c r="F1153" s="2"/>
      <c r="G1153" s="2">
        <v>-29.89</v>
      </c>
    </row>
    <row r="1154" spans="1:7">
      <c r="A1154" s="2" t="s">
        <v>1171</v>
      </c>
      <c r="B1154" s="3">
        <v>46079</v>
      </c>
      <c r="C1154" s="2" t="s">
        <v>11</v>
      </c>
      <c r="D1154" s="2" t="s">
        <v>9</v>
      </c>
      <c r="E1154" s="2"/>
      <c r="F1154" s="2"/>
      <c r="G1154" s="4"/>
    </row>
    <row r="1155" spans="1:7">
      <c r="A1155" s="2" t="s">
        <v>1172</v>
      </c>
      <c r="B1155" s="3">
        <v>46080</v>
      </c>
      <c r="C1155" s="2" t="s">
        <v>8</v>
      </c>
      <c r="D1155" s="2" t="s">
        <v>18</v>
      </c>
      <c r="E1155" s="2">
        <v>95.93</v>
      </c>
      <c r="F1155" s="2">
        <v>-146.02000000000001</v>
      </c>
      <c r="G1155" s="4"/>
    </row>
    <row r="1156" spans="1:7">
      <c r="A1156" s="2" t="s">
        <v>1173</v>
      </c>
      <c r="B1156" s="3">
        <v>46081</v>
      </c>
      <c r="C1156" s="2"/>
      <c r="D1156" s="2" t="s">
        <v>18</v>
      </c>
      <c r="E1156" s="2"/>
      <c r="F1156" s="2"/>
      <c r="G1156" s="4"/>
    </row>
    <row r="1157" spans="1:7">
      <c r="A1157" s="2" t="s">
        <v>1174</v>
      </c>
      <c r="B1157" s="3">
        <v>46082</v>
      </c>
      <c r="C1157" s="2" t="s">
        <v>16</v>
      </c>
      <c r="D1157" s="2" t="s">
        <v>8</v>
      </c>
      <c r="E1157" s="2" t="s">
        <v>24</v>
      </c>
      <c r="F1157" s="2">
        <v>196.02</v>
      </c>
      <c r="G1157" s="2"/>
    </row>
    <row r="1158" spans="1:7">
      <c r="A1158" s="2" t="s">
        <v>1175</v>
      </c>
      <c r="B1158" s="3">
        <v>46083</v>
      </c>
      <c r="C1158" s="2" t="s">
        <v>21</v>
      </c>
      <c r="D1158" s="2" t="s">
        <v>22</v>
      </c>
      <c r="E1158" s="2"/>
      <c r="F1158" s="2">
        <v>446.03</v>
      </c>
      <c r="G1158" s="2">
        <v>167.49</v>
      </c>
    </row>
    <row r="1159" spans="1:7">
      <c r="A1159" s="2" t="s">
        <v>1176</v>
      </c>
      <c r="B1159" s="3">
        <v>46084</v>
      </c>
      <c r="C1159" s="2" t="s">
        <v>22</v>
      </c>
      <c r="D1159" s="2" t="s">
        <v>24</v>
      </c>
      <c r="E1159" s="2"/>
      <c r="F1159" s="2"/>
      <c r="G1159" s="4"/>
    </row>
    <row r="1160" spans="1:7">
      <c r="A1160" s="2" t="s">
        <v>1177</v>
      </c>
      <c r="B1160" s="3">
        <v>46085</v>
      </c>
      <c r="C1160" s="2" t="s">
        <v>16</v>
      </c>
      <c r="D1160" s="2" t="s">
        <v>8</v>
      </c>
      <c r="E1160" s="2">
        <v>378.74</v>
      </c>
      <c r="F1160" s="2"/>
      <c r="G1160" s="4"/>
    </row>
    <row r="1161" spans="1:7">
      <c r="A1161" s="2" t="s">
        <v>1178</v>
      </c>
      <c r="B1161" s="3">
        <v>46086</v>
      </c>
      <c r="C1161" s="2" t="s">
        <v>27</v>
      </c>
      <c r="D1161" s="2" t="s">
        <v>22</v>
      </c>
      <c r="E1161" s="2"/>
      <c r="F1161" s="2"/>
      <c r="G1161" s="2">
        <v>96.74</v>
      </c>
    </row>
    <row r="1162" spans="1:7">
      <c r="A1162" s="2" t="s">
        <v>1179</v>
      </c>
      <c r="B1162" s="3">
        <v>46087</v>
      </c>
      <c r="C1162" s="2" t="s">
        <v>21</v>
      </c>
      <c r="D1162" s="2" t="s">
        <v>8</v>
      </c>
      <c r="E1162" s="2" t="s">
        <v>18</v>
      </c>
      <c r="F1162" s="2"/>
      <c r="G1162" s="2">
        <v>22.32</v>
      </c>
    </row>
    <row r="1163" spans="1:7">
      <c r="A1163" s="2" t="s">
        <v>1180</v>
      </c>
      <c r="B1163" s="3">
        <v>46088</v>
      </c>
      <c r="C1163" s="2" t="s">
        <v>21</v>
      </c>
      <c r="D1163" s="2" t="s">
        <v>11</v>
      </c>
      <c r="E1163" s="2" t="s">
        <v>24</v>
      </c>
      <c r="F1163" s="2"/>
      <c r="G1163" s="2"/>
    </row>
    <row r="1164" spans="1:7">
      <c r="A1164" s="2" t="s">
        <v>1181</v>
      </c>
      <c r="B1164" s="3">
        <v>46089</v>
      </c>
      <c r="C1164" s="2" t="s">
        <v>16</v>
      </c>
      <c r="D1164" s="2" t="s">
        <v>11</v>
      </c>
      <c r="E1164" s="2"/>
      <c r="F1164" s="2"/>
      <c r="G1164" s="2">
        <v>-133.74</v>
      </c>
    </row>
    <row r="1165" spans="1:7">
      <c r="A1165" s="2" t="s">
        <v>1182</v>
      </c>
      <c r="B1165" s="3">
        <v>46090</v>
      </c>
      <c r="C1165" s="2" t="s">
        <v>16</v>
      </c>
      <c r="D1165" s="2" t="s">
        <v>8</v>
      </c>
      <c r="E1165" s="2" t="s">
        <v>32</v>
      </c>
      <c r="F1165" s="2"/>
      <c r="G1165" s="2">
        <v>198.87</v>
      </c>
    </row>
    <row r="1166" spans="1:7">
      <c r="A1166" s="2" t="s">
        <v>1183</v>
      </c>
      <c r="B1166" s="3">
        <v>46091</v>
      </c>
      <c r="C1166" s="2" t="s">
        <v>13</v>
      </c>
      <c r="D1166" s="2"/>
      <c r="E1166" s="2" t="s">
        <v>9</v>
      </c>
      <c r="F1166" s="2">
        <v>778.42</v>
      </c>
      <c r="G1166" s="2"/>
    </row>
    <row r="1167" spans="1:7">
      <c r="A1167" s="2" t="s">
        <v>1184</v>
      </c>
      <c r="B1167" s="3">
        <v>46092</v>
      </c>
      <c r="C1167" s="2" t="s">
        <v>11</v>
      </c>
      <c r="D1167" s="2" t="s">
        <v>14</v>
      </c>
      <c r="E1167" s="2"/>
      <c r="F1167" s="2"/>
      <c r="G1167" s="4"/>
    </row>
    <row r="1168" spans="1:7">
      <c r="A1168" s="2" t="s">
        <v>1185</v>
      </c>
      <c r="B1168" s="3">
        <v>46093</v>
      </c>
      <c r="C1168" s="2" t="s">
        <v>16</v>
      </c>
      <c r="D1168" s="2" t="s">
        <v>8</v>
      </c>
      <c r="E1168" s="2" t="s">
        <v>32</v>
      </c>
      <c r="F1168" s="2">
        <v>202.56</v>
      </c>
      <c r="G1168" s="2"/>
    </row>
    <row r="1169" spans="1:7">
      <c r="A1169" s="2" t="s">
        <v>1186</v>
      </c>
      <c r="B1169" s="3">
        <v>46094</v>
      </c>
      <c r="C1169" s="2" t="s">
        <v>27</v>
      </c>
      <c r="D1169" s="2"/>
      <c r="E1169" s="2" t="s">
        <v>9</v>
      </c>
      <c r="F1169" s="2">
        <v>748.48</v>
      </c>
      <c r="G1169" s="2">
        <v>90.25</v>
      </c>
    </row>
    <row r="1170" spans="1:7">
      <c r="A1170" s="2" t="s">
        <v>1187</v>
      </c>
      <c r="B1170" s="3">
        <v>46095</v>
      </c>
      <c r="C1170" s="2" t="s">
        <v>16</v>
      </c>
      <c r="D1170" s="2" t="s">
        <v>22</v>
      </c>
      <c r="E1170" s="2" t="s">
        <v>32</v>
      </c>
      <c r="F1170" s="2">
        <v>593.59</v>
      </c>
      <c r="G1170" s="2"/>
    </row>
    <row r="1171" spans="1:7">
      <c r="A1171" s="2" t="s">
        <v>1188</v>
      </c>
      <c r="B1171" s="3">
        <v>46096</v>
      </c>
      <c r="C1171" s="2" t="s">
        <v>27</v>
      </c>
      <c r="D1171" s="2" t="s">
        <v>11</v>
      </c>
      <c r="E1171" s="2" t="s">
        <v>18</v>
      </c>
      <c r="F1171" s="2"/>
      <c r="G1171" s="2"/>
    </row>
    <row r="1172" spans="1:7">
      <c r="A1172" s="2" t="s">
        <v>1189</v>
      </c>
      <c r="B1172" s="3">
        <v>46097</v>
      </c>
      <c r="C1172" s="2" t="s">
        <v>8</v>
      </c>
      <c r="D1172" s="2" t="s">
        <v>9</v>
      </c>
      <c r="E1172" s="2">
        <v>71.27</v>
      </c>
      <c r="F1172" s="2"/>
      <c r="G1172" s="4"/>
    </row>
    <row r="1173" spans="1:7">
      <c r="A1173" s="2" t="s">
        <v>1190</v>
      </c>
      <c r="B1173" s="3">
        <v>46098</v>
      </c>
      <c r="C1173" s="2" t="s">
        <v>27</v>
      </c>
      <c r="D1173" s="2" t="s">
        <v>8</v>
      </c>
      <c r="E1173" s="2" t="s">
        <v>24</v>
      </c>
      <c r="F1173" s="2">
        <v>309.62</v>
      </c>
      <c r="G1173" s="2">
        <v>290.92</v>
      </c>
    </row>
    <row r="1174" spans="1:7">
      <c r="A1174" s="2" t="s">
        <v>1191</v>
      </c>
      <c r="B1174" s="3">
        <v>46099</v>
      </c>
      <c r="C1174" s="2" t="s">
        <v>21</v>
      </c>
      <c r="D1174" s="2" t="s">
        <v>22</v>
      </c>
      <c r="E1174" s="2" t="s">
        <v>18</v>
      </c>
      <c r="F1174" s="2"/>
      <c r="G1174" s="2"/>
    </row>
    <row r="1175" spans="1:7">
      <c r="A1175" s="2" t="s">
        <v>1192</v>
      </c>
      <c r="B1175" s="3">
        <v>46100</v>
      </c>
      <c r="C1175" s="2" t="s">
        <v>8</v>
      </c>
      <c r="D1175" s="2" t="s">
        <v>32</v>
      </c>
      <c r="E1175" s="2"/>
      <c r="F1175" s="2">
        <v>-97.49</v>
      </c>
      <c r="G1175" s="4"/>
    </row>
    <row r="1176" spans="1:7">
      <c r="A1176" s="2" t="s">
        <v>1193</v>
      </c>
      <c r="B1176" s="3">
        <v>46101</v>
      </c>
      <c r="C1176" s="2" t="s">
        <v>16</v>
      </c>
      <c r="D1176" s="2" t="s">
        <v>8</v>
      </c>
      <c r="E1176" s="2" t="s">
        <v>18</v>
      </c>
      <c r="F1176" s="2">
        <v>627.66</v>
      </c>
      <c r="G1176" s="2">
        <v>117.2</v>
      </c>
    </row>
    <row r="1177" spans="1:7">
      <c r="A1177" s="2" t="s">
        <v>1194</v>
      </c>
      <c r="B1177" s="3">
        <v>46102</v>
      </c>
      <c r="C1177" s="2" t="s">
        <v>21</v>
      </c>
      <c r="D1177" s="2"/>
      <c r="E1177" s="2" t="s">
        <v>24</v>
      </c>
      <c r="F1177" s="2">
        <v>501.24</v>
      </c>
      <c r="G1177" s="2"/>
    </row>
    <row r="1178" spans="1:7">
      <c r="A1178" s="2" t="s">
        <v>1195</v>
      </c>
      <c r="B1178" s="3">
        <v>46103</v>
      </c>
      <c r="C1178" s="2" t="s">
        <v>13</v>
      </c>
      <c r="D1178" s="2" t="s">
        <v>22</v>
      </c>
      <c r="E1178" s="2" t="s">
        <v>24</v>
      </c>
      <c r="F1178" s="2"/>
      <c r="G1178" s="2"/>
    </row>
    <row r="1179" spans="1:7">
      <c r="A1179" s="2" t="s">
        <v>1196</v>
      </c>
      <c r="B1179" s="3">
        <v>46104</v>
      </c>
      <c r="C1179" s="2" t="s">
        <v>27</v>
      </c>
      <c r="D1179" s="2" t="s">
        <v>22</v>
      </c>
      <c r="E1179" s="2"/>
      <c r="F1179" s="2">
        <v>773.6</v>
      </c>
      <c r="G1179" s="2"/>
    </row>
    <row r="1180" spans="1:7">
      <c r="A1180" s="2" t="s">
        <v>1197</v>
      </c>
      <c r="B1180" s="3">
        <v>46105</v>
      </c>
      <c r="C1180" s="2" t="s">
        <v>16</v>
      </c>
      <c r="D1180" s="2" t="s">
        <v>8</v>
      </c>
      <c r="E1180" s="2" t="s">
        <v>32</v>
      </c>
      <c r="F1180" s="2"/>
      <c r="G1180" s="2"/>
    </row>
    <row r="1181" spans="1:7">
      <c r="A1181" s="2" t="s">
        <v>1198</v>
      </c>
      <c r="B1181" s="3">
        <v>46106</v>
      </c>
      <c r="C1181" s="2" t="s">
        <v>21</v>
      </c>
      <c r="D1181" s="2" t="s">
        <v>22</v>
      </c>
      <c r="E1181" s="2" t="s">
        <v>9</v>
      </c>
      <c r="F1181" s="2"/>
      <c r="G1181" s="2"/>
    </row>
    <row r="1182" spans="1:7">
      <c r="A1182" s="2" t="s">
        <v>1199</v>
      </c>
      <c r="B1182" s="3">
        <v>46107</v>
      </c>
      <c r="C1182" s="2" t="s">
        <v>21</v>
      </c>
      <c r="D1182" s="2" t="s">
        <v>11</v>
      </c>
      <c r="E1182" s="2" t="s">
        <v>14</v>
      </c>
      <c r="F1182" s="2"/>
      <c r="G1182" s="2">
        <v>-17.350000000000001</v>
      </c>
    </row>
    <row r="1183" spans="1:7">
      <c r="A1183" s="2" t="s">
        <v>1200</v>
      </c>
      <c r="B1183" s="3">
        <v>46108</v>
      </c>
      <c r="C1183" s="2" t="s">
        <v>27</v>
      </c>
      <c r="D1183" s="2" t="s">
        <v>11</v>
      </c>
      <c r="E1183" s="2" t="s">
        <v>14</v>
      </c>
      <c r="F1183" s="2"/>
      <c r="G1183" s="2"/>
    </row>
    <row r="1184" spans="1:7">
      <c r="A1184" s="2" t="s">
        <v>1201</v>
      </c>
      <c r="B1184" s="3">
        <v>46109</v>
      </c>
      <c r="C1184" s="2" t="s">
        <v>11</v>
      </c>
      <c r="D1184" s="2" t="s">
        <v>18</v>
      </c>
      <c r="E1184" s="2">
        <v>126.77</v>
      </c>
      <c r="F1184" s="2"/>
      <c r="G1184" s="4"/>
    </row>
    <row r="1185" spans="1:7">
      <c r="A1185" s="2" t="s">
        <v>1202</v>
      </c>
      <c r="B1185" s="3">
        <v>46110</v>
      </c>
      <c r="C1185" s="2" t="s">
        <v>27</v>
      </c>
      <c r="D1185" s="2" t="s">
        <v>22</v>
      </c>
      <c r="E1185" s="2" t="s">
        <v>24</v>
      </c>
      <c r="F1185" s="2">
        <v>186.73</v>
      </c>
      <c r="G1185" s="2">
        <v>284.42</v>
      </c>
    </row>
    <row r="1186" spans="1:7">
      <c r="A1186" s="2" t="s">
        <v>1203</v>
      </c>
      <c r="B1186" s="3">
        <v>46111</v>
      </c>
      <c r="C1186" s="2" t="s">
        <v>16</v>
      </c>
      <c r="D1186" s="2" t="s">
        <v>8</v>
      </c>
      <c r="E1186" s="2" t="s">
        <v>9</v>
      </c>
      <c r="F1186" s="2">
        <v>386</v>
      </c>
      <c r="G1186" s="2">
        <v>-194.52</v>
      </c>
    </row>
    <row r="1187" spans="1:7">
      <c r="A1187" s="2" t="s">
        <v>1204</v>
      </c>
      <c r="B1187" s="3">
        <v>46112</v>
      </c>
      <c r="C1187" s="2" t="s">
        <v>16</v>
      </c>
      <c r="D1187" s="2" t="s">
        <v>8</v>
      </c>
      <c r="E1187" s="2" t="s">
        <v>18</v>
      </c>
      <c r="F1187" s="2">
        <v>238.42</v>
      </c>
      <c r="G1187" s="2"/>
    </row>
    <row r="1188" spans="1:7">
      <c r="A1188" s="2" t="s">
        <v>1205</v>
      </c>
      <c r="B1188" s="3">
        <v>46113</v>
      </c>
      <c r="C1188" s="2"/>
      <c r="D1188" s="2" t="s">
        <v>18</v>
      </c>
      <c r="E1188" s="2">
        <v>377.13</v>
      </c>
      <c r="F1188" s="2"/>
      <c r="G1188" s="4"/>
    </row>
    <row r="1189" spans="1:7">
      <c r="A1189" s="2" t="s">
        <v>1206</v>
      </c>
      <c r="B1189" s="3">
        <v>46114</v>
      </c>
      <c r="C1189" s="2" t="s">
        <v>16</v>
      </c>
      <c r="D1189" s="2"/>
      <c r="E1189" s="2" t="s">
        <v>32</v>
      </c>
      <c r="F1189" s="2"/>
      <c r="G1189" s="2">
        <v>61.3</v>
      </c>
    </row>
    <row r="1190" spans="1:7">
      <c r="A1190" s="2" t="s">
        <v>1207</v>
      </c>
      <c r="B1190" s="3">
        <v>46115</v>
      </c>
      <c r="C1190" s="2" t="s">
        <v>21</v>
      </c>
      <c r="D1190" s="2" t="s">
        <v>11</v>
      </c>
      <c r="E1190" s="2" t="s">
        <v>9</v>
      </c>
      <c r="F1190" s="2"/>
      <c r="G1190" s="2"/>
    </row>
    <row r="1191" spans="1:7">
      <c r="A1191" s="2" t="s">
        <v>1208</v>
      </c>
      <c r="B1191" s="3">
        <v>46116</v>
      </c>
      <c r="C1191" s="2" t="s">
        <v>27</v>
      </c>
      <c r="D1191" s="2" t="s">
        <v>8</v>
      </c>
      <c r="E1191" s="2" t="s">
        <v>9</v>
      </c>
      <c r="F1191" s="2"/>
      <c r="G1191" s="2"/>
    </row>
    <row r="1192" spans="1:7">
      <c r="A1192" s="2" t="s">
        <v>1209</v>
      </c>
      <c r="B1192" s="3">
        <v>46117</v>
      </c>
      <c r="C1192" s="2" t="s">
        <v>16</v>
      </c>
      <c r="D1192" s="2"/>
      <c r="E1192" s="2" t="s">
        <v>14</v>
      </c>
      <c r="F1192" s="2">
        <v>317.01</v>
      </c>
      <c r="G1192" s="2">
        <v>-54.62</v>
      </c>
    </row>
    <row r="1193" spans="1:7">
      <c r="A1193" s="2" t="s">
        <v>1210</v>
      </c>
      <c r="B1193" s="3">
        <v>46118</v>
      </c>
      <c r="C1193" s="2"/>
      <c r="D1193" s="2"/>
      <c r="E1193" s="2"/>
      <c r="F1193" s="2"/>
      <c r="G1193" s="4"/>
    </row>
    <row r="1194" spans="1:7">
      <c r="A1194" s="2" t="s">
        <v>1211</v>
      </c>
      <c r="B1194" s="3">
        <v>46119</v>
      </c>
      <c r="C1194" s="2" t="s">
        <v>13</v>
      </c>
      <c r="D1194" s="2" t="s">
        <v>11</v>
      </c>
      <c r="E1194" s="2" t="s">
        <v>14</v>
      </c>
      <c r="F1194" s="2"/>
      <c r="G1194" s="2"/>
    </row>
    <row r="1195" spans="1:7">
      <c r="A1195" s="2" t="s">
        <v>1212</v>
      </c>
      <c r="B1195" s="3">
        <v>46120</v>
      </c>
      <c r="C1195" s="2" t="s">
        <v>16</v>
      </c>
      <c r="D1195" s="2"/>
      <c r="E1195" s="2" t="s">
        <v>18</v>
      </c>
      <c r="F1195" s="2"/>
      <c r="G1195" s="2">
        <v>218.39</v>
      </c>
    </row>
    <row r="1196" spans="1:7">
      <c r="A1196" s="2" t="s">
        <v>1213</v>
      </c>
      <c r="B1196" s="3">
        <v>46121</v>
      </c>
      <c r="C1196" s="2" t="s">
        <v>13</v>
      </c>
      <c r="D1196" s="2" t="s">
        <v>22</v>
      </c>
      <c r="E1196" s="2"/>
      <c r="F1196" s="2"/>
      <c r="G1196" s="2">
        <v>-40.619999999999997</v>
      </c>
    </row>
    <row r="1197" spans="1:7">
      <c r="A1197" s="2" t="s">
        <v>1214</v>
      </c>
      <c r="B1197" s="3">
        <v>46122</v>
      </c>
      <c r="C1197" s="2" t="s">
        <v>16</v>
      </c>
      <c r="D1197" s="2" t="s">
        <v>11</v>
      </c>
      <c r="E1197" s="2" t="s">
        <v>9</v>
      </c>
      <c r="F1197" s="2">
        <v>547.53</v>
      </c>
      <c r="G1197" s="2"/>
    </row>
    <row r="1198" spans="1:7">
      <c r="A1198" s="2" t="s">
        <v>1215</v>
      </c>
      <c r="B1198" s="3">
        <v>46123</v>
      </c>
      <c r="C1198" s="2" t="s">
        <v>16</v>
      </c>
      <c r="D1198" s="2" t="s">
        <v>22</v>
      </c>
      <c r="E1198" s="2" t="s">
        <v>14</v>
      </c>
      <c r="F1198" s="2">
        <v>634.86</v>
      </c>
      <c r="G1198" s="2"/>
    </row>
    <row r="1199" spans="1:7">
      <c r="A1199" s="2" t="s">
        <v>1216</v>
      </c>
      <c r="B1199" s="3">
        <v>46124</v>
      </c>
      <c r="C1199" s="2" t="s">
        <v>21</v>
      </c>
      <c r="D1199" s="2" t="s">
        <v>22</v>
      </c>
      <c r="E1199" s="2" t="s">
        <v>14</v>
      </c>
      <c r="F1199" s="2"/>
      <c r="G1199" s="2">
        <v>299.41000000000003</v>
      </c>
    </row>
    <row r="1200" spans="1:7">
      <c r="A1200" s="2" t="s">
        <v>1217</v>
      </c>
      <c r="B1200" s="3">
        <v>46125</v>
      </c>
      <c r="C1200" s="2" t="s">
        <v>21</v>
      </c>
      <c r="D1200" s="2" t="s">
        <v>22</v>
      </c>
      <c r="E1200" s="2" t="s">
        <v>14</v>
      </c>
      <c r="F1200" s="2">
        <v>847.98</v>
      </c>
      <c r="G1200" s="2"/>
    </row>
    <row r="1201" spans="1:7">
      <c r="A1201" s="2" t="s">
        <v>1218</v>
      </c>
      <c r="B1201" s="3">
        <v>46126</v>
      </c>
      <c r="C1201" s="2" t="s">
        <v>22</v>
      </c>
      <c r="D1201" s="2" t="s">
        <v>18</v>
      </c>
      <c r="E1201" s="2">
        <v>454.42</v>
      </c>
      <c r="F1201" s="2"/>
      <c r="G1201" s="4"/>
    </row>
    <row r="1202" spans="1:7">
      <c r="A1202" s="2" t="s">
        <v>23</v>
      </c>
      <c r="B1202" s="3">
        <v>44934</v>
      </c>
      <c r="C1202" s="2" t="s">
        <v>8</v>
      </c>
      <c r="D1202" s="2" t="s">
        <v>24</v>
      </c>
      <c r="E1202" s="2">
        <v>812.47</v>
      </c>
      <c r="F1202" s="2">
        <v>143.76</v>
      </c>
      <c r="G1202" s="4"/>
    </row>
    <row r="1203" spans="1:7">
      <c r="A1203" s="2" t="s">
        <v>293</v>
      </c>
      <c r="B1203" s="3">
        <v>45201</v>
      </c>
      <c r="C1203" s="2" t="s">
        <v>27</v>
      </c>
      <c r="D1203" s="2"/>
      <c r="E1203" s="2" t="s">
        <v>14</v>
      </c>
      <c r="F1203" s="2">
        <v>908.79</v>
      </c>
      <c r="G1203" s="2">
        <v>220.21</v>
      </c>
    </row>
    <row r="1204" spans="1:7">
      <c r="A1204" s="2" t="s">
        <v>535</v>
      </c>
      <c r="B1204" s="3">
        <v>45443</v>
      </c>
      <c r="C1204" s="2" t="s">
        <v>13</v>
      </c>
      <c r="D1204" s="2" t="s">
        <v>22</v>
      </c>
      <c r="E1204" s="2" t="s">
        <v>24</v>
      </c>
      <c r="F1204" s="2"/>
      <c r="G1204" s="2">
        <v>-28.26</v>
      </c>
    </row>
    <row r="1205" spans="1:7">
      <c r="A1205" s="2" t="s">
        <v>1070</v>
      </c>
      <c r="B1205" s="3">
        <v>45978</v>
      </c>
      <c r="C1205" s="2" t="s">
        <v>13</v>
      </c>
      <c r="D1205" s="2"/>
      <c r="E1205" s="2" t="s">
        <v>32</v>
      </c>
      <c r="F1205" s="2"/>
      <c r="G1205" s="2">
        <v>198.91</v>
      </c>
    </row>
    <row r="1206" spans="1:7">
      <c r="A1206" s="2" t="s">
        <v>1153</v>
      </c>
      <c r="B1206" s="3">
        <v>46061</v>
      </c>
      <c r="C1206" s="2" t="s">
        <v>13</v>
      </c>
      <c r="D1206" s="2" t="s">
        <v>11</v>
      </c>
      <c r="E1206" s="2" t="s">
        <v>18</v>
      </c>
      <c r="F1206" s="2">
        <v>838.98</v>
      </c>
      <c r="G1206" s="2">
        <v>-129.41</v>
      </c>
    </row>
    <row r="1207" spans="1:7">
      <c r="A1207" s="2" t="s">
        <v>299</v>
      </c>
      <c r="B1207" s="3">
        <v>45207</v>
      </c>
      <c r="C1207" s="2" t="s">
        <v>13</v>
      </c>
      <c r="D1207" s="2" t="s">
        <v>8</v>
      </c>
      <c r="E1207" s="2" t="s">
        <v>24</v>
      </c>
      <c r="F1207" s="2"/>
      <c r="G1207" s="2">
        <v>142.30000000000001</v>
      </c>
    </row>
    <row r="1208" spans="1:7">
      <c r="A1208" s="2" t="s">
        <v>1114</v>
      </c>
      <c r="B1208" s="3">
        <v>46022</v>
      </c>
      <c r="C1208" s="2" t="s">
        <v>16</v>
      </c>
      <c r="D1208" s="2"/>
      <c r="E1208" s="2" t="s">
        <v>9</v>
      </c>
      <c r="F1208" s="2">
        <v>881.83</v>
      </c>
      <c r="G1208" s="2"/>
    </row>
    <row r="1209" spans="1:7">
      <c r="A1209" s="2" t="s">
        <v>796</v>
      </c>
      <c r="B1209" s="3">
        <v>45704</v>
      </c>
      <c r="C1209" s="2" t="s">
        <v>13</v>
      </c>
      <c r="D1209" s="2" t="s">
        <v>11</v>
      </c>
      <c r="E1209" s="2" t="s">
        <v>18</v>
      </c>
      <c r="F1209" s="2">
        <v>926.26</v>
      </c>
      <c r="G1209" s="2">
        <v>-92.48</v>
      </c>
    </row>
    <row r="1210" spans="1:7">
      <c r="A1210" s="2" t="s">
        <v>247</v>
      </c>
      <c r="B1210" s="3">
        <v>45155</v>
      </c>
      <c r="C1210" s="2" t="s">
        <v>8</v>
      </c>
      <c r="D1210" s="2">
        <v>210.91</v>
      </c>
      <c r="E1210" s="2">
        <v>-120.51</v>
      </c>
      <c r="F1210" s="4"/>
      <c r="G1210" s="4"/>
    </row>
    <row r="1211" spans="1:7">
      <c r="A1211" s="2" t="s">
        <v>346</v>
      </c>
      <c r="B1211" s="3">
        <v>45254</v>
      </c>
      <c r="C1211" s="2" t="s">
        <v>16</v>
      </c>
      <c r="D1211" s="2" t="s">
        <v>22</v>
      </c>
      <c r="E1211" s="2" t="s">
        <v>24</v>
      </c>
      <c r="F1211" s="2"/>
      <c r="G1211" s="2">
        <v>-92.65</v>
      </c>
    </row>
    <row r="1212" spans="1:7">
      <c r="A1212" s="2" t="s">
        <v>156</v>
      </c>
      <c r="B1212" s="3">
        <v>45064</v>
      </c>
      <c r="C1212" s="2" t="s">
        <v>16</v>
      </c>
      <c r="D1212" s="2" t="s">
        <v>8</v>
      </c>
      <c r="E1212" s="2" t="s">
        <v>32</v>
      </c>
      <c r="F1212" s="2"/>
      <c r="G1212" s="2">
        <v>-51.13</v>
      </c>
    </row>
    <row r="1213" spans="1:7">
      <c r="A1213" s="2" t="s">
        <v>683</v>
      </c>
      <c r="B1213" s="3">
        <v>45591</v>
      </c>
      <c r="C1213" s="2" t="s">
        <v>21</v>
      </c>
      <c r="D1213" s="2" t="s">
        <v>22</v>
      </c>
      <c r="E1213" s="2" t="s">
        <v>14</v>
      </c>
      <c r="F1213" s="2">
        <v>90.65</v>
      </c>
      <c r="G1213" s="2"/>
    </row>
    <row r="1214" spans="1:7">
      <c r="A1214" s="2" t="s">
        <v>642</v>
      </c>
      <c r="B1214" s="3">
        <v>45550</v>
      </c>
      <c r="C1214" s="2" t="s">
        <v>22</v>
      </c>
      <c r="D1214" s="2" t="s">
        <v>14</v>
      </c>
      <c r="E1214" s="2">
        <v>80.69</v>
      </c>
      <c r="F1214" s="2"/>
      <c r="G1214" s="4"/>
    </row>
    <row r="1215" spans="1:7">
      <c r="A1215" s="2" t="s">
        <v>789</v>
      </c>
      <c r="B1215" s="3">
        <v>45697</v>
      </c>
      <c r="C1215" s="2" t="s">
        <v>27</v>
      </c>
      <c r="D1215" s="2" t="s">
        <v>8</v>
      </c>
      <c r="E1215" s="2" t="s">
        <v>32</v>
      </c>
      <c r="F1215" s="2">
        <v>421.9</v>
      </c>
      <c r="G1215" s="2">
        <v>74.88</v>
      </c>
    </row>
    <row r="1216" spans="1:7">
      <c r="A1216" s="2" t="s">
        <v>1139</v>
      </c>
      <c r="B1216" s="3">
        <v>46047</v>
      </c>
      <c r="C1216" s="2" t="s">
        <v>13</v>
      </c>
      <c r="D1216" s="2"/>
      <c r="E1216" s="2" t="s">
        <v>14</v>
      </c>
      <c r="F1216" s="2"/>
      <c r="G1216" s="2">
        <v>-197.36</v>
      </c>
    </row>
    <row r="1217" spans="1:7">
      <c r="A1217" s="2" t="s">
        <v>1030</v>
      </c>
      <c r="B1217" s="3">
        <v>45938</v>
      </c>
      <c r="C1217" s="2" t="s">
        <v>13</v>
      </c>
      <c r="D1217" s="2" t="s">
        <v>22</v>
      </c>
      <c r="E1217" s="2" t="s">
        <v>18</v>
      </c>
      <c r="F1217" s="2">
        <v>921.95</v>
      </c>
      <c r="G1217" s="2"/>
    </row>
    <row r="1218" spans="1:7">
      <c r="A1218" s="2" t="s">
        <v>826</v>
      </c>
      <c r="B1218" s="3">
        <v>45734</v>
      </c>
      <c r="C1218" s="2" t="s">
        <v>21</v>
      </c>
      <c r="D1218" s="2"/>
      <c r="E1218" s="2" t="s">
        <v>24</v>
      </c>
      <c r="F1218" s="2"/>
      <c r="G1218" s="2">
        <v>-178.36</v>
      </c>
    </row>
    <row r="1219" spans="1:7">
      <c r="A1219" s="2" t="s">
        <v>813</v>
      </c>
      <c r="B1219" s="3">
        <v>45721</v>
      </c>
      <c r="C1219" s="2" t="s">
        <v>13</v>
      </c>
      <c r="D1219" s="2" t="s">
        <v>11</v>
      </c>
      <c r="E1219" s="2" t="s">
        <v>18</v>
      </c>
      <c r="F1219" s="2">
        <v>652.14</v>
      </c>
      <c r="G1219" s="2"/>
    </row>
    <row r="1220" spans="1:7">
      <c r="A1220" s="2" t="s">
        <v>835</v>
      </c>
      <c r="B1220" s="3">
        <v>45743</v>
      </c>
      <c r="C1220" s="2" t="s">
        <v>16</v>
      </c>
      <c r="D1220" s="2"/>
      <c r="E1220" s="2" t="s">
        <v>9</v>
      </c>
      <c r="F1220" s="2"/>
      <c r="G1220" s="2"/>
    </row>
    <row r="1221" spans="1:7">
      <c r="A1221" s="2" t="s">
        <v>220</v>
      </c>
      <c r="B1221" s="3">
        <v>45128</v>
      </c>
      <c r="C1221" s="2" t="s">
        <v>21</v>
      </c>
      <c r="D1221" s="2" t="s">
        <v>22</v>
      </c>
      <c r="E1221" s="2" t="s">
        <v>24</v>
      </c>
      <c r="F1221" s="2"/>
      <c r="G1221" s="2"/>
    </row>
    <row r="1222" spans="1:7">
      <c r="A1222" s="2" t="s">
        <v>1159</v>
      </c>
      <c r="B1222" s="3">
        <v>46067</v>
      </c>
      <c r="C1222" s="2" t="s">
        <v>27</v>
      </c>
      <c r="D1222" s="2"/>
      <c r="E1222" s="2"/>
      <c r="F1222" s="2"/>
      <c r="G1222" s="2">
        <v>221.8</v>
      </c>
    </row>
    <row r="1223" spans="1:7">
      <c r="A1223" s="2" t="s">
        <v>617</v>
      </c>
      <c r="B1223" s="3">
        <v>45525</v>
      </c>
      <c r="C1223" s="2" t="s">
        <v>13</v>
      </c>
      <c r="D1223" s="2" t="s">
        <v>8</v>
      </c>
      <c r="E1223" s="2" t="s">
        <v>9</v>
      </c>
      <c r="F1223" s="2"/>
      <c r="G1223" s="2"/>
    </row>
    <row r="1224" spans="1:7">
      <c r="A1224" s="2" t="s">
        <v>1203</v>
      </c>
      <c r="B1224" s="3">
        <v>46111</v>
      </c>
      <c r="C1224" s="2" t="s">
        <v>16</v>
      </c>
      <c r="D1224" s="2" t="s">
        <v>8</v>
      </c>
      <c r="E1224" s="2" t="s">
        <v>9</v>
      </c>
      <c r="F1224" s="2">
        <v>386</v>
      </c>
      <c r="G1224" s="2">
        <v>-194.52</v>
      </c>
    </row>
    <row r="1225" spans="1:7">
      <c r="A1225" s="2" t="s">
        <v>966</v>
      </c>
      <c r="B1225" s="3">
        <v>45874</v>
      </c>
      <c r="C1225" s="2" t="s">
        <v>8</v>
      </c>
      <c r="D1225" s="2" t="s">
        <v>32</v>
      </c>
      <c r="E1225" s="2">
        <v>429.42</v>
      </c>
      <c r="F1225" s="2">
        <v>243.32</v>
      </c>
      <c r="G1225" s="4"/>
    </row>
    <row r="1226" spans="1:7">
      <c r="A1226" s="2" t="s">
        <v>1184</v>
      </c>
      <c r="B1226" s="3">
        <v>46092</v>
      </c>
      <c r="C1226" s="2" t="s">
        <v>11</v>
      </c>
      <c r="D1226" s="2" t="s">
        <v>14</v>
      </c>
      <c r="E1226" s="2"/>
      <c r="F1226" s="2"/>
      <c r="G1226" s="4"/>
    </row>
    <row r="1227" spans="1:7">
      <c r="A1227" s="2" t="s">
        <v>762</v>
      </c>
      <c r="B1227" s="3">
        <v>45670</v>
      </c>
      <c r="C1227" s="2" t="s">
        <v>16</v>
      </c>
      <c r="D1227" s="2" t="s">
        <v>8</v>
      </c>
      <c r="E1227" s="2">
        <v>568.85</v>
      </c>
      <c r="F1227" s="2"/>
      <c r="G1227" s="4"/>
    </row>
    <row r="1228" spans="1:7">
      <c r="A1228" s="2" t="s">
        <v>755</v>
      </c>
      <c r="B1228" s="3">
        <v>45663</v>
      </c>
      <c r="C1228" s="2" t="s">
        <v>16</v>
      </c>
      <c r="D1228" s="2" t="s">
        <v>22</v>
      </c>
      <c r="E1228" s="2" t="s">
        <v>14</v>
      </c>
      <c r="F1228" s="2"/>
      <c r="G1228" s="2">
        <v>-198.08</v>
      </c>
    </row>
    <row r="1229" spans="1:7">
      <c r="A1229" s="2" t="s">
        <v>1058</v>
      </c>
      <c r="B1229" s="3">
        <v>45966</v>
      </c>
      <c r="C1229" s="2" t="s">
        <v>8</v>
      </c>
      <c r="D1229" s="2">
        <v>996.68</v>
      </c>
      <c r="E1229" s="2"/>
      <c r="F1229" s="4"/>
      <c r="G1229" s="4"/>
    </row>
    <row r="1230" spans="1:7">
      <c r="A1230" s="2" t="s">
        <v>468</v>
      </c>
      <c r="B1230" s="3">
        <v>45376</v>
      </c>
      <c r="C1230" s="2" t="s">
        <v>8</v>
      </c>
      <c r="D1230" s="2" t="s">
        <v>32</v>
      </c>
      <c r="E1230" s="2">
        <v>585.04</v>
      </c>
      <c r="F1230" s="2">
        <v>53.95</v>
      </c>
      <c r="G1230" s="4"/>
    </row>
    <row r="1231" spans="1:7">
      <c r="A1231" s="2" t="s">
        <v>244</v>
      </c>
      <c r="B1231" s="3">
        <v>45152</v>
      </c>
      <c r="C1231" s="2" t="s">
        <v>22</v>
      </c>
      <c r="D1231" s="2" t="s">
        <v>32</v>
      </c>
      <c r="E1231" s="2">
        <v>211.75</v>
      </c>
      <c r="F1231" s="2"/>
      <c r="G1231" s="4"/>
    </row>
    <row r="1232" spans="1:7">
      <c r="A1232" s="2" t="s">
        <v>983</v>
      </c>
      <c r="B1232" s="3">
        <v>45891</v>
      </c>
      <c r="C1232" s="2"/>
      <c r="D1232" s="2" t="s">
        <v>14</v>
      </c>
      <c r="E1232" s="2"/>
      <c r="F1232" s="2">
        <v>-73.25</v>
      </c>
      <c r="G1232" s="4"/>
    </row>
    <row r="1233" spans="1:7">
      <c r="A1233" s="2" t="s">
        <v>386</v>
      </c>
      <c r="B1233" s="3">
        <v>45294</v>
      </c>
      <c r="C1233" s="2" t="s">
        <v>13</v>
      </c>
      <c r="D1233" s="2" t="s">
        <v>11</v>
      </c>
      <c r="E1233" s="2" t="s">
        <v>32</v>
      </c>
      <c r="F1233" s="2"/>
      <c r="G1233" s="2"/>
    </row>
    <row r="1234" spans="1:7">
      <c r="A1234" s="2" t="s">
        <v>395</v>
      </c>
      <c r="B1234" s="3">
        <v>45303</v>
      </c>
      <c r="C1234" s="2"/>
      <c r="D1234" s="2" t="s">
        <v>9</v>
      </c>
      <c r="E1234" s="2">
        <v>454.95</v>
      </c>
      <c r="F1234" s="2">
        <v>-88.35</v>
      </c>
      <c r="G1234" s="4"/>
    </row>
    <row r="1235" spans="1:7">
      <c r="A1235" s="2" t="s">
        <v>613</v>
      </c>
      <c r="B1235" s="3">
        <v>45521</v>
      </c>
      <c r="C1235" s="2" t="s">
        <v>27</v>
      </c>
      <c r="D1235" s="2" t="s">
        <v>8</v>
      </c>
      <c r="E1235" s="2" t="s">
        <v>14</v>
      </c>
      <c r="F1235" s="2">
        <v>856.56</v>
      </c>
      <c r="G1235" s="2"/>
    </row>
    <row r="1236" spans="1:7">
      <c r="A1236" s="2" t="s">
        <v>713</v>
      </c>
      <c r="B1236" s="3">
        <v>45621</v>
      </c>
      <c r="C1236" s="2" t="s">
        <v>22</v>
      </c>
      <c r="D1236" s="2" t="s">
        <v>14</v>
      </c>
      <c r="E1236" s="2">
        <v>590.21</v>
      </c>
      <c r="F1236" s="2"/>
      <c r="G1236" s="4"/>
    </row>
    <row r="1237" spans="1:7">
      <c r="A1237" s="2" t="s">
        <v>420</v>
      </c>
      <c r="B1237" s="3">
        <v>45328</v>
      </c>
      <c r="C1237" s="2" t="s">
        <v>27</v>
      </c>
      <c r="D1237" s="2" t="s">
        <v>11</v>
      </c>
      <c r="E1237" s="2" t="s">
        <v>18</v>
      </c>
      <c r="F1237" s="2"/>
      <c r="G1237" s="2"/>
    </row>
    <row r="1238" spans="1:7">
      <c r="A1238" s="2" t="s">
        <v>384</v>
      </c>
      <c r="B1238" s="3">
        <v>45292</v>
      </c>
      <c r="C1238" s="2" t="s">
        <v>16</v>
      </c>
      <c r="D1238" s="2" t="s">
        <v>22</v>
      </c>
      <c r="E1238" s="2" t="s">
        <v>18</v>
      </c>
      <c r="F1238" s="2">
        <v>215.45</v>
      </c>
      <c r="G1238" s="2"/>
    </row>
    <row r="1239" spans="1:7">
      <c r="A1239" s="2" t="s">
        <v>719</v>
      </c>
      <c r="B1239" s="3">
        <v>45627</v>
      </c>
      <c r="C1239" s="2" t="s">
        <v>27</v>
      </c>
      <c r="D1239" s="2"/>
      <c r="E1239" s="2" t="s">
        <v>14</v>
      </c>
      <c r="F1239" s="2"/>
      <c r="G1239" s="2">
        <v>43.47</v>
      </c>
    </row>
    <row r="1240" spans="1:7">
      <c r="A1240" s="2" t="s">
        <v>746</v>
      </c>
      <c r="B1240" s="3">
        <v>45654</v>
      </c>
      <c r="C1240" s="2" t="s">
        <v>11</v>
      </c>
      <c r="D1240" s="2" t="s">
        <v>32</v>
      </c>
      <c r="E1240" s="2"/>
      <c r="F1240" s="2">
        <v>100.12</v>
      </c>
      <c r="G1240" s="4"/>
    </row>
    <row r="1241" spans="1:7">
      <c r="A1241" s="2" t="s">
        <v>561</v>
      </c>
      <c r="B1241" s="3">
        <v>45469</v>
      </c>
      <c r="C1241" s="2" t="s">
        <v>8</v>
      </c>
      <c r="D1241" s="2" t="s">
        <v>18</v>
      </c>
      <c r="E1241" s="2">
        <v>295.5</v>
      </c>
      <c r="F1241" s="2"/>
      <c r="G1241" s="4"/>
    </row>
    <row r="1242" spans="1:7">
      <c r="A1242" s="2" t="s">
        <v>845</v>
      </c>
      <c r="B1242" s="3">
        <v>45753</v>
      </c>
      <c r="C1242" s="2"/>
      <c r="D1242" s="2" t="s">
        <v>24</v>
      </c>
      <c r="E1242" s="2"/>
      <c r="F1242" s="2"/>
      <c r="G1242" s="4"/>
    </row>
    <row r="1243" spans="1:7">
      <c r="A1243" s="2" t="s">
        <v>803</v>
      </c>
      <c r="B1243" s="3">
        <v>45711</v>
      </c>
      <c r="C1243" s="2" t="s">
        <v>11</v>
      </c>
      <c r="D1243" s="2" t="s">
        <v>32</v>
      </c>
      <c r="E1243" s="2"/>
      <c r="F1243" s="2"/>
      <c r="G1243" s="4"/>
    </row>
    <row r="1244" spans="1:7">
      <c r="A1244" s="2" t="s">
        <v>69</v>
      </c>
      <c r="B1244" s="3">
        <v>44977</v>
      </c>
      <c r="C1244" s="2" t="s">
        <v>16</v>
      </c>
      <c r="D1244" s="2" t="s">
        <v>8</v>
      </c>
      <c r="E1244" s="2" t="s">
        <v>9</v>
      </c>
      <c r="F1244" s="2"/>
      <c r="G1244" s="2"/>
    </row>
    <row r="1245" spans="1:7">
      <c r="A1245" s="2" t="s">
        <v>252</v>
      </c>
      <c r="B1245" s="3">
        <v>45160</v>
      </c>
      <c r="C1245" s="2" t="s">
        <v>16</v>
      </c>
      <c r="D1245" s="2" t="s">
        <v>11</v>
      </c>
      <c r="E1245" s="2" t="s">
        <v>14</v>
      </c>
      <c r="F1245" s="2"/>
      <c r="G1245" s="2"/>
    </row>
    <row r="1246" spans="1:7">
      <c r="A1246" s="2" t="s">
        <v>411</v>
      </c>
      <c r="B1246" s="3">
        <v>45319</v>
      </c>
      <c r="C1246" s="2" t="s">
        <v>27</v>
      </c>
      <c r="D1246" s="2" t="s">
        <v>22</v>
      </c>
      <c r="E1246" s="2" t="s">
        <v>14</v>
      </c>
      <c r="F1246" s="2"/>
      <c r="G1246" s="2">
        <v>60.41</v>
      </c>
    </row>
    <row r="1247" spans="1:7">
      <c r="A1247" s="2" t="s">
        <v>276</v>
      </c>
      <c r="B1247" s="3">
        <v>45184</v>
      </c>
      <c r="C1247" s="2" t="s">
        <v>13</v>
      </c>
      <c r="D1247" s="2"/>
      <c r="E1247" s="2" t="s">
        <v>9</v>
      </c>
      <c r="F1247" s="2">
        <v>192.78</v>
      </c>
      <c r="G1247" s="2"/>
    </row>
    <row r="1248" spans="1:7">
      <c r="A1248" s="2" t="s">
        <v>585</v>
      </c>
      <c r="B1248" s="3">
        <v>45493</v>
      </c>
      <c r="C1248" s="2" t="s">
        <v>13</v>
      </c>
      <c r="D1248" s="2" t="s">
        <v>8</v>
      </c>
      <c r="E1248" s="2" t="s">
        <v>18</v>
      </c>
      <c r="F1248" s="2">
        <v>420.41</v>
      </c>
      <c r="G1248" s="2"/>
    </row>
    <row r="1249" spans="1:7">
      <c r="A1249" s="2" t="s">
        <v>563</v>
      </c>
      <c r="B1249" s="3">
        <v>45471</v>
      </c>
      <c r="C1249" s="2" t="s">
        <v>16</v>
      </c>
      <c r="D1249" s="2" t="s">
        <v>22</v>
      </c>
      <c r="E1249" s="2" t="s">
        <v>18</v>
      </c>
      <c r="F1249" s="2"/>
      <c r="G1249" s="2">
        <v>54.32</v>
      </c>
    </row>
    <row r="1250" spans="1:7">
      <c r="A1250" s="2" t="s">
        <v>529</v>
      </c>
      <c r="B1250" s="3">
        <v>45437</v>
      </c>
      <c r="C1250" s="2" t="s">
        <v>21</v>
      </c>
      <c r="D1250" s="2" t="s">
        <v>22</v>
      </c>
      <c r="E1250" s="2" t="s">
        <v>14</v>
      </c>
      <c r="F1250" s="2"/>
      <c r="G1250" s="2">
        <v>253.59</v>
      </c>
    </row>
    <row r="1251" spans="1:7">
      <c r="A1251" s="2" t="s">
        <v>1212</v>
      </c>
      <c r="B1251" s="3">
        <v>46120</v>
      </c>
      <c r="C1251" s="2" t="s">
        <v>16</v>
      </c>
      <c r="D1251" s="2"/>
      <c r="E1251" s="2" t="s">
        <v>18</v>
      </c>
      <c r="F1251" s="2"/>
      <c r="G1251" s="2">
        <v>218.39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6CBED-9AD7-AA47-ADA2-858ABBFA9183}">
  <dimension ref="A1:I126"/>
  <sheetViews>
    <sheetView workbookViewId="0">
      <selection activeCell="N11" sqref="N11"/>
    </sheetView>
  </sheetViews>
  <sheetFormatPr baseColWidth="10" defaultRowHeight="16"/>
  <cols>
    <col min="1" max="1" width="13.1640625" bestFit="1" customWidth="1"/>
    <col min="2" max="2" width="12.1640625" customWidth="1"/>
    <col min="5" max="5" width="14.83203125" customWidth="1"/>
    <col min="8" max="8" width="9.1640625" customWidth="1"/>
    <col min="9" max="9" width="16" customWidth="1"/>
  </cols>
  <sheetData>
    <row r="1" spans="1:9">
      <c r="A1" s="1" t="s">
        <v>0</v>
      </c>
      <c r="B1" s="1" t="s">
        <v>1</v>
      </c>
      <c r="C1" s="1" t="s">
        <v>2</v>
      </c>
      <c r="D1" s="1" t="s">
        <v>3</v>
      </c>
      <c r="E1" s="1" t="s">
        <v>4</v>
      </c>
      <c r="F1" s="1" t="s">
        <v>5</v>
      </c>
      <c r="G1" s="1" t="s">
        <v>6</v>
      </c>
      <c r="H1" s="1" t="s">
        <v>1219</v>
      </c>
      <c r="I1" s="1" t="s">
        <v>1220</v>
      </c>
    </row>
    <row r="2" spans="1:9">
      <c r="A2" s="2" t="s">
        <v>12</v>
      </c>
      <c r="B2" s="3">
        <v>44929</v>
      </c>
      <c r="C2" s="2" t="s">
        <v>13</v>
      </c>
      <c r="D2" s="2" t="s">
        <v>8</v>
      </c>
      <c r="E2" s="2" t="s">
        <v>14</v>
      </c>
      <c r="F2" s="2">
        <v>425.77</v>
      </c>
      <c r="G2" s="2">
        <v>-162.59</v>
      </c>
      <c r="H2" s="4" t="str">
        <f>TEXT(B2,"mmm")</f>
        <v>Jan</v>
      </c>
      <c r="I2" s="4">
        <f>IF(F2=0,0,G2/F2)</f>
        <v>-0.38187284214481998</v>
      </c>
    </row>
    <row r="3" spans="1:9">
      <c r="A3" s="2" t="s">
        <v>45</v>
      </c>
      <c r="B3" s="3">
        <v>44953</v>
      </c>
      <c r="C3" s="2" t="s">
        <v>13</v>
      </c>
      <c r="D3" s="2" t="s">
        <v>22</v>
      </c>
      <c r="E3" s="2" t="s">
        <v>18</v>
      </c>
      <c r="F3" s="2">
        <v>574.84</v>
      </c>
      <c r="G3" s="2">
        <v>-108.72</v>
      </c>
      <c r="H3" s="4" t="str">
        <f t="shared" ref="H3:H66" si="0">TEXT(B3,"mmm")</f>
        <v>Jan</v>
      </c>
      <c r="I3" s="4">
        <f t="shared" ref="I3:I66" si="1">IF(F3=0,0,G3/F3)</f>
        <v>-0.18913088859508731</v>
      </c>
    </row>
    <row r="4" spans="1:9">
      <c r="A4" s="2" t="s">
        <v>59</v>
      </c>
      <c r="B4" s="3">
        <v>44967</v>
      </c>
      <c r="C4" s="2" t="s">
        <v>16</v>
      </c>
      <c r="D4" s="2" t="s">
        <v>8</v>
      </c>
      <c r="E4" s="2" t="s">
        <v>9</v>
      </c>
      <c r="F4" s="2">
        <v>167.65</v>
      </c>
      <c r="G4" s="2">
        <v>170.87</v>
      </c>
      <c r="H4" s="4" t="str">
        <f t="shared" si="0"/>
        <v>Feb</v>
      </c>
      <c r="I4" s="4">
        <f t="shared" si="1"/>
        <v>1.0192066805845512</v>
      </c>
    </row>
    <row r="5" spans="1:9">
      <c r="A5" s="2" t="s">
        <v>62</v>
      </c>
      <c r="B5" s="3">
        <v>44970</v>
      </c>
      <c r="C5" s="2" t="s">
        <v>27</v>
      </c>
      <c r="D5" s="2" t="s">
        <v>22</v>
      </c>
      <c r="E5" s="2" t="s">
        <v>32</v>
      </c>
      <c r="F5" s="2">
        <v>926.73</v>
      </c>
      <c r="G5" s="2">
        <v>160.62</v>
      </c>
      <c r="H5" s="4" t="str">
        <f t="shared" si="0"/>
        <v>Feb</v>
      </c>
      <c r="I5" s="4">
        <f t="shared" si="1"/>
        <v>0.17331908970250234</v>
      </c>
    </row>
    <row r="6" spans="1:9">
      <c r="A6" s="2" t="s">
        <v>73</v>
      </c>
      <c r="B6" s="3">
        <v>44981</v>
      </c>
      <c r="C6" s="2" t="s">
        <v>13</v>
      </c>
      <c r="D6" s="2" t="s">
        <v>8</v>
      </c>
      <c r="E6" s="2" t="s">
        <v>9</v>
      </c>
      <c r="F6" s="2">
        <v>643.91</v>
      </c>
      <c r="G6" s="2">
        <v>81.95</v>
      </c>
      <c r="H6" s="4" t="str">
        <f t="shared" si="0"/>
        <v>Feb</v>
      </c>
      <c r="I6" s="4">
        <f t="shared" si="1"/>
        <v>0.12726933888276312</v>
      </c>
    </row>
    <row r="7" spans="1:9">
      <c r="A7" s="2" t="s">
        <v>79</v>
      </c>
      <c r="B7" s="3">
        <v>44987</v>
      </c>
      <c r="C7" s="2" t="s">
        <v>27</v>
      </c>
      <c r="D7" s="2" t="s">
        <v>11</v>
      </c>
      <c r="E7" s="2" t="s">
        <v>9</v>
      </c>
      <c r="F7" s="2">
        <v>95.16</v>
      </c>
      <c r="G7" s="2">
        <v>247.08</v>
      </c>
      <c r="H7" s="4" t="str">
        <f t="shared" si="0"/>
        <v>Mar</v>
      </c>
      <c r="I7" s="4">
        <f t="shared" si="1"/>
        <v>2.5964691046658261</v>
      </c>
    </row>
    <row r="8" spans="1:9">
      <c r="A8" s="2" t="s">
        <v>108</v>
      </c>
      <c r="B8" s="3">
        <v>45016</v>
      </c>
      <c r="C8" s="2" t="s">
        <v>21</v>
      </c>
      <c r="D8" s="2" t="s">
        <v>22</v>
      </c>
      <c r="E8" s="2" t="s">
        <v>32</v>
      </c>
      <c r="F8" s="2">
        <v>192.92</v>
      </c>
      <c r="G8" s="2">
        <v>244.33</v>
      </c>
      <c r="H8" s="4" t="str">
        <f t="shared" si="0"/>
        <v>Mar</v>
      </c>
      <c r="I8" s="4">
        <f t="shared" si="1"/>
        <v>1.2664835164835166</v>
      </c>
    </row>
    <row r="9" spans="1:9">
      <c r="A9" s="2" t="s">
        <v>116</v>
      </c>
      <c r="B9" s="3">
        <v>45024</v>
      </c>
      <c r="C9" s="2" t="s">
        <v>21</v>
      </c>
      <c r="D9" s="2" t="s">
        <v>11</v>
      </c>
      <c r="E9" s="2" t="s">
        <v>32</v>
      </c>
      <c r="F9" s="2">
        <v>775.09</v>
      </c>
      <c r="G9" s="2">
        <v>264.54000000000002</v>
      </c>
      <c r="H9" s="4" t="str">
        <f t="shared" si="0"/>
        <v>Apr</v>
      </c>
      <c r="I9" s="4">
        <f t="shared" si="1"/>
        <v>0.34130230037802062</v>
      </c>
    </row>
    <row r="10" spans="1:9">
      <c r="A10" s="2" t="s">
        <v>125</v>
      </c>
      <c r="B10" s="3">
        <v>45033</v>
      </c>
      <c r="C10" s="2" t="s">
        <v>21</v>
      </c>
      <c r="D10" s="2" t="s">
        <v>8</v>
      </c>
      <c r="E10" s="2" t="s">
        <v>14</v>
      </c>
      <c r="F10" s="2">
        <v>706.58</v>
      </c>
      <c r="G10" s="2">
        <v>41.62</v>
      </c>
      <c r="H10" s="4" t="str">
        <f t="shared" si="0"/>
        <v>Apr</v>
      </c>
      <c r="I10" s="4">
        <f t="shared" si="1"/>
        <v>5.8903450423165096E-2</v>
      </c>
    </row>
    <row r="11" spans="1:9">
      <c r="A11" s="2" t="s">
        <v>134</v>
      </c>
      <c r="B11" s="3">
        <v>45042</v>
      </c>
      <c r="C11" s="2" t="s">
        <v>16</v>
      </c>
      <c r="D11" s="2" t="s">
        <v>11</v>
      </c>
      <c r="E11" s="2" t="s">
        <v>14</v>
      </c>
      <c r="F11" s="2">
        <v>619.66</v>
      </c>
      <c r="G11" s="2">
        <v>24.24</v>
      </c>
      <c r="H11" s="4" t="str">
        <f t="shared" si="0"/>
        <v>Apr</v>
      </c>
      <c r="I11" s="4">
        <f t="shared" si="1"/>
        <v>3.9118226124003487E-2</v>
      </c>
    </row>
    <row r="12" spans="1:9">
      <c r="A12" s="2" t="s">
        <v>138</v>
      </c>
      <c r="B12" s="3">
        <v>45046</v>
      </c>
      <c r="C12" s="2" t="s">
        <v>21</v>
      </c>
      <c r="D12" s="2" t="s">
        <v>8</v>
      </c>
      <c r="E12" s="2" t="s">
        <v>14</v>
      </c>
      <c r="F12" s="2">
        <v>682.66</v>
      </c>
      <c r="G12" s="2">
        <v>90.2</v>
      </c>
      <c r="H12" s="4" t="str">
        <f t="shared" si="0"/>
        <v>Apr</v>
      </c>
      <c r="I12" s="4">
        <f t="shared" si="1"/>
        <v>0.13213019658395103</v>
      </c>
    </row>
    <row r="13" spans="1:9">
      <c r="A13" s="2" t="s">
        <v>145</v>
      </c>
      <c r="B13" s="3">
        <v>45053</v>
      </c>
      <c r="C13" s="2" t="s">
        <v>27</v>
      </c>
      <c r="D13" s="2" t="s">
        <v>22</v>
      </c>
      <c r="E13" s="2" t="s">
        <v>18</v>
      </c>
      <c r="F13" s="2">
        <v>672.18</v>
      </c>
      <c r="G13" s="2">
        <v>-79.44</v>
      </c>
      <c r="H13" s="4" t="str">
        <f t="shared" si="0"/>
        <v>May</v>
      </c>
      <c r="I13" s="4">
        <f t="shared" si="1"/>
        <v>-0.11818262965277158</v>
      </c>
    </row>
    <row r="14" spans="1:9">
      <c r="A14" s="2" t="s">
        <v>152</v>
      </c>
      <c r="B14" s="3">
        <v>45060</v>
      </c>
      <c r="C14" s="2" t="s">
        <v>16</v>
      </c>
      <c r="D14" s="2" t="s">
        <v>22</v>
      </c>
      <c r="E14" s="2" t="s">
        <v>9</v>
      </c>
      <c r="F14" s="2">
        <v>221.94</v>
      </c>
      <c r="G14" s="2">
        <v>-185.09</v>
      </c>
      <c r="H14" s="4" t="str">
        <f t="shared" si="0"/>
        <v>May</v>
      </c>
      <c r="I14" s="4">
        <f t="shared" si="1"/>
        <v>-0.83396413445075246</v>
      </c>
    </row>
    <row r="15" spans="1:9">
      <c r="A15" s="2" t="s">
        <v>159</v>
      </c>
      <c r="B15" s="3">
        <v>45067</v>
      </c>
      <c r="C15" s="2" t="s">
        <v>16</v>
      </c>
      <c r="D15" s="2" t="s">
        <v>8</v>
      </c>
      <c r="E15" s="2" t="s">
        <v>14</v>
      </c>
      <c r="F15" s="2">
        <v>797.32</v>
      </c>
      <c r="G15" s="2">
        <v>41.18</v>
      </c>
      <c r="H15" s="4" t="str">
        <f t="shared" si="0"/>
        <v>May</v>
      </c>
      <c r="I15" s="4">
        <f t="shared" si="1"/>
        <v>5.1648020869914206E-2</v>
      </c>
    </row>
    <row r="16" spans="1:9">
      <c r="A16" s="2" t="s">
        <v>168</v>
      </c>
      <c r="B16" s="3">
        <v>45076</v>
      </c>
      <c r="C16" s="2" t="s">
        <v>21</v>
      </c>
      <c r="D16" s="2" t="s">
        <v>8</v>
      </c>
      <c r="E16" s="2" t="s">
        <v>14</v>
      </c>
      <c r="F16" s="2">
        <v>922.57</v>
      </c>
      <c r="G16" s="2">
        <v>-36.43</v>
      </c>
      <c r="H16" s="4" t="str">
        <f t="shared" si="0"/>
        <v>May</v>
      </c>
      <c r="I16" s="4">
        <f t="shared" si="1"/>
        <v>-3.9487518562277113E-2</v>
      </c>
    </row>
    <row r="17" spans="1:9">
      <c r="A17" s="2" t="s">
        <v>174</v>
      </c>
      <c r="B17" s="3">
        <v>45082</v>
      </c>
      <c r="C17" s="2" t="s">
        <v>21</v>
      </c>
      <c r="D17" s="2" t="s">
        <v>11</v>
      </c>
      <c r="E17" s="2" t="s">
        <v>14</v>
      </c>
      <c r="F17" s="2">
        <v>441.54</v>
      </c>
      <c r="G17" s="2">
        <v>-90.37</v>
      </c>
      <c r="H17" s="4" t="str">
        <f t="shared" si="0"/>
        <v>Jun</v>
      </c>
      <c r="I17" s="4">
        <f t="shared" si="1"/>
        <v>-0.20467001857136385</v>
      </c>
    </row>
    <row r="18" spans="1:9">
      <c r="A18" s="2" t="s">
        <v>186</v>
      </c>
      <c r="B18" s="3">
        <v>45094</v>
      </c>
      <c r="C18" s="2" t="s">
        <v>16</v>
      </c>
      <c r="D18" s="2" t="s">
        <v>11</v>
      </c>
      <c r="E18" s="2" t="s">
        <v>9</v>
      </c>
      <c r="F18" s="2">
        <v>712.54</v>
      </c>
      <c r="G18" s="2">
        <v>294.64</v>
      </c>
      <c r="H18" s="4" t="str">
        <f t="shared" si="0"/>
        <v>Jun</v>
      </c>
      <c r="I18" s="4">
        <f t="shared" si="1"/>
        <v>0.41350661015521933</v>
      </c>
    </row>
    <row r="19" spans="1:9">
      <c r="A19" s="2" t="s">
        <v>193</v>
      </c>
      <c r="B19" s="3">
        <v>45101</v>
      </c>
      <c r="C19" s="2" t="s">
        <v>27</v>
      </c>
      <c r="D19" s="2" t="s">
        <v>8</v>
      </c>
      <c r="E19" s="2" t="s">
        <v>14</v>
      </c>
      <c r="F19" s="2">
        <v>540.15</v>
      </c>
      <c r="G19" s="2">
        <v>-71.349999999999994</v>
      </c>
      <c r="H19" s="4" t="str">
        <f t="shared" si="0"/>
        <v>Jun</v>
      </c>
      <c r="I19" s="4">
        <f t="shared" si="1"/>
        <v>-0.13209293714708878</v>
      </c>
    </row>
    <row r="20" spans="1:9">
      <c r="A20" s="2" t="s">
        <v>205</v>
      </c>
      <c r="B20" s="3">
        <v>45113</v>
      </c>
      <c r="C20" s="2" t="s">
        <v>21</v>
      </c>
      <c r="D20" s="2" t="s">
        <v>8</v>
      </c>
      <c r="E20" s="2" t="s">
        <v>14</v>
      </c>
      <c r="F20" s="2">
        <v>192.35</v>
      </c>
      <c r="G20" s="2">
        <v>-7.03</v>
      </c>
      <c r="H20" s="4" t="str">
        <f t="shared" si="0"/>
        <v>Jul</v>
      </c>
      <c r="I20" s="4">
        <f t="shared" si="1"/>
        <v>-3.6547959448921238E-2</v>
      </c>
    </row>
    <row r="21" spans="1:9">
      <c r="A21" s="2" t="s">
        <v>222</v>
      </c>
      <c r="B21" s="3">
        <v>45130</v>
      </c>
      <c r="C21" s="2" t="s">
        <v>27</v>
      </c>
      <c r="D21" s="2" t="s">
        <v>8</v>
      </c>
      <c r="E21" s="2" t="s">
        <v>14</v>
      </c>
      <c r="F21" s="2">
        <v>163.15</v>
      </c>
      <c r="G21" s="2">
        <v>294.70999999999998</v>
      </c>
      <c r="H21" s="4" t="str">
        <f t="shared" si="0"/>
        <v>Jul</v>
      </c>
      <c r="I21" s="4">
        <f t="shared" si="1"/>
        <v>1.8063745019920316</v>
      </c>
    </row>
    <row r="22" spans="1:9">
      <c r="A22" s="2" t="s">
        <v>226</v>
      </c>
      <c r="B22" s="3">
        <v>45134</v>
      </c>
      <c r="C22" s="2" t="s">
        <v>21</v>
      </c>
      <c r="D22" s="2" t="s">
        <v>8</v>
      </c>
      <c r="E22" s="2" t="s">
        <v>32</v>
      </c>
      <c r="F22" s="2">
        <v>704.92</v>
      </c>
      <c r="G22" s="2">
        <v>239.99</v>
      </c>
      <c r="H22" s="4" t="str">
        <f t="shared" si="0"/>
        <v>Jul</v>
      </c>
      <c r="I22" s="4">
        <f t="shared" si="1"/>
        <v>0.34044998013959032</v>
      </c>
    </row>
    <row r="23" spans="1:9">
      <c r="A23" s="2" t="s">
        <v>237</v>
      </c>
      <c r="B23" s="3">
        <v>45145</v>
      </c>
      <c r="C23" s="2" t="s">
        <v>16</v>
      </c>
      <c r="D23" s="2" t="s">
        <v>8</v>
      </c>
      <c r="E23" s="2" t="s">
        <v>24</v>
      </c>
      <c r="F23" s="2">
        <v>175.55</v>
      </c>
      <c r="G23" s="2">
        <v>279.93</v>
      </c>
      <c r="H23" s="4" t="str">
        <f t="shared" si="0"/>
        <v>Aug</v>
      </c>
      <c r="I23" s="4">
        <f t="shared" si="1"/>
        <v>1.5945884363429221</v>
      </c>
    </row>
    <row r="24" spans="1:9">
      <c r="A24" s="2" t="s">
        <v>239</v>
      </c>
      <c r="B24" s="3">
        <v>45147</v>
      </c>
      <c r="C24" s="2" t="s">
        <v>13</v>
      </c>
      <c r="D24" s="2" t="s">
        <v>8</v>
      </c>
      <c r="E24" s="2" t="s">
        <v>14</v>
      </c>
      <c r="F24" s="2">
        <v>254.84</v>
      </c>
      <c r="G24" s="2">
        <v>-123.5</v>
      </c>
      <c r="H24" s="4" t="str">
        <f t="shared" si="0"/>
        <v>Aug</v>
      </c>
      <c r="I24" s="4">
        <f t="shared" si="1"/>
        <v>-0.48461779940354732</v>
      </c>
    </row>
    <row r="25" spans="1:9">
      <c r="A25" s="2" t="s">
        <v>240</v>
      </c>
      <c r="B25" s="3">
        <v>45148</v>
      </c>
      <c r="C25" s="2" t="s">
        <v>13</v>
      </c>
      <c r="D25" s="2" t="s">
        <v>11</v>
      </c>
      <c r="E25" s="2" t="s">
        <v>9</v>
      </c>
      <c r="F25" s="2">
        <v>271.73</v>
      </c>
      <c r="G25" s="2">
        <v>87.01</v>
      </c>
      <c r="H25" s="4" t="str">
        <f t="shared" si="0"/>
        <v>Aug</v>
      </c>
      <c r="I25" s="4">
        <f t="shared" si="1"/>
        <v>0.32020755897398151</v>
      </c>
    </row>
    <row r="26" spans="1:9">
      <c r="A26" s="2" t="s">
        <v>256</v>
      </c>
      <c r="B26" s="3">
        <v>45164</v>
      </c>
      <c r="C26" s="2" t="s">
        <v>16</v>
      </c>
      <c r="D26" s="2" t="s">
        <v>8</v>
      </c>
      <c r="E26" s="2" t="s">
        <v>32</v>
      </c>
      <c r="F26" s="2">
        <v>862.61</v>
      </c>
      <c r="G26" s="2">
        <v>0.97</v>
      </c>
      <c r="H26" s="4" t="str">
        <f t="shared" si="0"/>
        <v>Aug</v>
      </c>
      <c r="I26" s="4">
        <f t="shared" si="1"/>
        <v>1.1244942673977812E-3</v>
      </c>
    </row>
    <row r="27" spans="1:9">
      <c r="A27" s="2" t="s">
        <v>260</v>
      </c>
      <c r="B27" s="3">
        <v>45168</v>
      </c>
      <c r="C27" s="2" t="s">
        <v>27</v>
      </c>
      <c r="D27" s="2" t="s">
        <v>11</v>
      </c>
      <c r="E27" s="2" t="s">
        <v>32</v>
      </c>
      <c r="F27" s="2">
        <v>125.63</v>
      </c>
      <c r="G27" s="2">
        <v>-188.75</v>
      </c>
      <c r="H27" s="4" t="str">
        <f t="shared" si="0"/>
        <v>Aug</v>
      </c>
      <c r="I27" s="4">
        <f t="shared" si="1"/>
        <v>-1.5024277640690917</v>
      </c>
    </row>
    <row r="28" spans="1:9">
      <c r="A28" s="2" t="s">
        <v>263</v>
      </c>
      <c r="B28" s="3">
        <v>45171</v>
      </c>
      <c r="C28" s="2" t="s">
        <v>16</v>
      </c>
      <c r="D28" s="2" t="s">
        <v>22</v>
      </c>
      <c r="E28" s="2" t="s">
        <v>9</v>
      </c>
      <c r="F28" s="2">
        <v>891.14</v>
      </c>
      <c r="G28" s="2">
        <v>-81.739999999999995</v>
      </c>
      <c r="H28" s="4" t="str">
        <f t="shared" si="0"/>
        <v>Sep</v>
      </c>
      <c r="I28" s="4">
        <f t="shared" si="1"/>
        <v>-9.1725205916017682E-2</v>
      </c>
    </row>
    <row r="29" spans="1:9">
      <c r="A29" s="2" t="s">
        <v>265</v>
      </c>
      <c r="B29" s="3">
        <v>45173</v>
      </c>
      <c r="C29" s="2" t="s">
        <v>21</v>
      </c>
      <c r="D29" s="2" t="s">
        <v>22</v>
      </c>
      <c r="E29" s="2" t="s">
        <v>14</v>
      </c>
      <c r="F29" s="2">
        <v>895.31</v>
      </c>
      <c r="G29" s="2">
        <v>117.81</v>
      </c>
      <c r="H29" s="4" t="str">
        <f t="shared" si="0"/>
        <v>Sep</v>
      </c>
      <c r="I29" s="4">
        <f t="shared" si="1"/>
        <v>0.13158570774368655</v>
      </c>
    </row>
    <row r="30" spans="1:9">
      <c r="A30" s="2" t="s">
        <v>273</v>
      </c>
      <c r="B30" s="3">
        <v>45181</v>
      </c>
      <c r="C30" s="2" t="s">
        <v>13</v>
      </c>
      <c r="D30" s="2" t="s">
        <v>22</v>
      </c>
      <c r="E30" s="2" t="s">
        <v>18</v>
      </c>
      <c r="F30" s="2">
        <v>226.78</v>
      </c>
      <c r="G30" s="2">
        <v>207.18</v>
      </c>
      <c r="H30" s="4" t="str">
        <f t="shared" si="0"/>
        <v>Sep</v>
      </c>
      <c r="I30" s="4">
        <f t="shared" si="1"/>
        <v>0.91357262545197992</v>
      </c>
    </row>
    <row r="31" spans="1:9">
      <c r="A31" s="2" t="s">
        <v>275</v>
      </c>
      <c r="B31" s="3">
        <v>45183</v>
      </c>
      <c r="C31" s="2" t="s">
        <v>27</v>
      </c>
      <c r="D31" s="2" t="s">
        <v>11</v>
      </c>
      <c r="E31" s="2" t="s">
        <v>18</v>
      </c>
      <c r="F31" s="2">
        <v>713.65</v>
      </c>
      <c r="G31" s="2">
        <v>258.52999999999997</v>
      </c>
      <c r="H31" s="4" t="str">
        <f t="shared" si="0"/>
        <v>Sep</v>
      </c>
      <c r="I31" s="4">
        <f t="shared" si="1"/>
        <v>0.36226441532964337</v>
      </c>
    </row>
    <row r="32" spans="1:9">
      <c r="A32" s="2" t="s">
        <v>288</v>
      </c>
      <c r="B32" s="3">
        <v>45196</v>
      </c>
      <c r="C32" s="2" t="s">
        <v>13</v>
      </c>
      <c r="D32" s="2" t="s">
        <v>8</v>
      </c>
      <c r="E32" s="2" t="s">
        <v>32</v>
      </c>
      <c r="F32" s="2">
        <v>287.25</v>
      </c>
      <c r="G32" s="2">
        <v>258.56</v>
      </c>
      <c r="H32" s="4" t="str">
        <f t="shared" si="0"/>
        <v>Sep</v>
      </c>
      <c r="I32" s="4">
        <f t="shared" si="1"/>
        <v>0.90012184508268056</v>
      </c>
    </row>
    <row r="33" spans="1:9">
      <c r="A33" s="2" t="s">
        <v>329</v>
      </c>
      <c r="B33" s="3">
        <v>45237</v>
      </c>
      <c r="C33" s="2" t="s">
        <v>16</v>
      </c>
      <c r="D33" s="2" t="s">
        <v>11</v>
      </c>
      <c r="E33" s="2" t="s">
        <v>9</v>
      </c>
      <c r="F33" s="2">
        <v>653.64</v>
      </c>
      <c r="G33" s="2">
        <v>-18.39</v>
      </c>
      <c r="H33" s="4" t="str">
        <f t="shared" si="0"/>
        <v>Nov</v>
      </c>
      <c r="I33" s="4">
        <f t="shared" si="1"/>
        <v>-2.8134753075087206E-2</v>
      </c>
    </row>
    <row r="34" spans="1:9">
      <c r="A34" s="2" t="s">
        <v>334</v>
      </c>
      <c r="B34" s="3">
        <v>45242</v>
      </c>
      <c r="C34" s="2" t="s">
        <v>13</v>
      </c>
      <c r="D34" s="2" t="s">
        <v>8</v>
      </c>
      <c r="E34" s="2" t="s">
        <v>32</v>
      </c>
      <c r="F34" s="2">
        <v>436.56</v>
      </c>
      <c r="G34" s="2">
        <v>-172.31</v>
      </c>
      <c r="H34" s="4" t="str">
        <f t="shared" si="0"/>
        <v>Nov</v>
      </c>
      <c r="I34" s="4">
        <f t="shared" si="1"/>
        <v>-0.39469946857247573</v>
      </c>
    </row>
    <row r="35" spans="1:9">
      <c r="A35" s="2" t="s">
        <v>355</v>
      </c>
      <c r="B35" s="3">
        <v>45263</v>
      </c>
      <c r="C35" s="2" t="s">
        <v>16</v>
      </c>
      <c r="D35" s="2" t="s">
        <v>22</v>
      </c>
      <c r="E35" s="2" t="s">
        <v>32</v>
      </c>
      <c r="F35" s="2">
        <v>642.57000000000005</v>
      </c>
      <c r="G35" s="2">
        <v>7.4</v>
      </c>
      <c r="H35" s="4" t="str">
        <f t="shared" si="0"/>
        <v>Dec</v>
      </c>
      <c r="I35" s="4">
        <f t="shared" si="1"/>
        <v>1.1516255038361579E-2</v>
      </c>
    </row>
    <row r="36" spans="1:9">
      <c r="A36" s="2" t="s">
        <v>357</v>
      </c>
      <c r="B36" s="3">
        <v>45265</v>
      </c>
      <c r="C36" s="2" t="s">
        <v>16</v>
      </c>
      <c r="D36" s="2" t="s">
        <v>8</v>
      </c>
      <c r="E36" s="2" t="s">
        <v>9</v>
      </c>
      <c r="F36" s="2">
        <v>677.03</v>
      </c>
      <c r="G36" s="2">
        <v>141.41999999999999</v>
      </c>
      <c r="H36" s="4" t="str">
        <f t="shared" si="0"/>
        <v>Dec</v>
      </c>
      <c r="I36" s="4">
        <f t="shared" si="1"/>
        <v>0.20888291508500362</v>
      </c>
    </row>
    <row r="37" spans="1:9">
      <c r="A37" s="2" t="s">
        <v>368</v>
      </c>
      <c r="B37" s="3">
        <v>45276</v>
      </c>
      <c r="C37" s="2" t="s">
        <v>16</v>
      </c>
      <c r="D37" s="2" t="s">
        <v>11</v>
      </c>
      <c r="E37" s="2" t="s">
        <v>18</v>
      </c>
      <c r="F37" s="2">
        <v>720.29</v>
      </c>
      <c r="G37" s="2">
        <v>-11.79</v>
      </c>
      <c r="H37" s="4" t="str">
        <f t="shared" si="0"/>
        <v>Dec</v>
      </c>
      <c r="I37" s="4">
        <f t="shared" si="1"/>
        <v>-1.6368407169334572E-2</v>
      </c>
    </row>
    <row r="38" spans="1:9">
      <c r="A38" s="2" t="s">
        <v>396</v>
      </c>
      <c r="B38" s="3">
        <v>45304</v>
      </c>
      <c r="C38" s="2" t="s">
        <v>13</v>
      </c>
      <c r="D38" s="2" t="s">
        <v>11</v>
      </c>
      <c r="E38" s="2" t="s">
        <v>18</v>
      </c>
      <c r="F38" s="2">
        <v>348.38</v>
      </c>
      <c r="G38" s="2">
        <v>-186.16</v>
      </c>
      <c r="H38" s="4" t="str">
        <f t="shared" si="0"/>
        <v>Jan</v>
      </c>
      <c r="I38" s="4">
        <f t="shared" si="1"/>
        <v>-0.53435903323956602</v>
      </c>
    </row>
    <row r="39" spans="1:9">
      <c r="A39" s="2" t="s">
        <v>413</v>
      </c>
      <c r="B39" s="3">
        <v>45321</v>
      </c>
      <c r="C39" s="2" t="s">
        <v>21</v>
      </c>
      <c r="D39" s="2" t="s">
        <v>8</v>
      </c>
      <c r="E39" s="2" t="s">
        <v>18</v>
      </c>
      <c r="F39" s="2">
        <v>71.650000000000006</v>
      </c>
      <c r="G39" s="2">
        <v>-90.54</v>
      </c>
      <c r="H39" s="4" t="str">
        <f t="shared" si="0"/>
        <v>Jan</v>
      </c>
      <c r="I39" s="4">
        <f t="shared" si="1"/>
        <v>-1.2636427076064201</v>
      </c>
    </row>
    <row r="40" spans="1:9">
      <c r="A40" s="2" t="s">
        <v>416</v>
      </c>
      <c r="B40" s="3">
        <v>45324</v>
      </c>
      <c r="C40" s="2" t="s">
        <v>13</v>
      </c>
      <c r="D40" s="2" t="s">
        <v>22</v>
      </c>
      <c r="E40" s="2" t="s">
        <v>18</v>
      </c>
      <c r="F40" s="2">
        <v>935.03</v>
      </c>
      <c r="G40" s="2">
        <v>-117.54</v>
      </c>
      <c r="H40" s="4" t="str">
        <f t="shared" si="0"/>
        <v>Feb</v>
      </c>
      <c r="I40" s="4">
        <f t="shared" si="1"/>
        <v>-0.12570719656053816</v>
      </c>
    </row>
    <row r="41" spans="1:9">
      <c r="A41" s="2" t="s">
        <v>425</v>
      </c>
      <c r="B41" s="3">
        <v>45333</v>
      </c>
      <c r="C41" s="2" t="s">
        <v>27</v>
      </c>
      <c r="D41" s="2" t="s">
        <v>22</v>
      </c>
      <c r="E41" s="2" t="s">
        <v>24</v>
      </c>
      <c r="F41" s="2">
        <v>338.71</v>
      </c>
      <c r="G41" s="2">
        <v>-196.34</v>
      </c>
      <c r="H41" s="4" t="str">
        <f t="shared" si="0"/>
        <v>Feb</v>
      </c>
      <c r="I41" s="4">
        <f t="shared" si="1"/>
        <v>-0.57966992412388185</v>
      </c>
    </row>
    <row r="42" spans="1:9">
      <c r="A42" s="2" t="s">
        <v>450</v>
      </c>
      <c r="B42" s="3">
        <v>45358</v>
      </c>
      <c r="C42" s="2" t="s">
        <v>13</v>
      </c>
      <c r="D42" s="2" t="s">
        <v>8</v>
      </c>
      <c r="E42" s="2" t="s">
        <v>32</v>
      </c>
      <c r="F42" s="2">
        <v>278.18</v>
      </c>
      <c r="G42" s="2">
        <v>-162.9</v>
      </c>
      <c r="H42" s="4" t="str">
        <f t="shared" si="0"/>
        <v>Mar</v>
      </c>
      <c r="I42" s="4">
        <f t="shared" si="1"/>
        <v>-0.58559206269322017</v>
      </c>
    </row>
    <row r="43" spans="1:9">
      <c r="A43" s="2" t="s">
        <v>467</v>
      </c>
      <c r="B43" s="3">
        <v>45375</v>
      </c>
      <c r="C43" s="2" t="s">
        <v>27</v>
      </c>
      <c r="D43" s="2" t="s">
        <v>8</v>
      </c>
      <c r="E43" s="2" t="s">
        <v>32</v>
      </c>
      <c r="F43" s="2">
        <v>157.6</v>
      </c>
      <c r="G43" s="2">
        <v>141.57</v>
      </c>
      <c r="H43" s="4" t="str">
        <f t="shared" si="0"/>
        <v>Mar</v>
      </c>
      <c r="I43" s="4">
        <f t="shared" si="1"/>
        <v>0.89828680203045685</v>
      </c>
    </row>
    <row r="44" spans="1:9">
      <c r="A44" s="2" t="s">
        <v>491</v>
      </c>
      <c r="B44" s="3">
        <v>45399</v>
      </c>
      <c r="C44" s="2" t="s">
        <v>16</v>
      </c>
      <c r="D44" s="2" t="s">
        <v>8</v>
      </c>
      <c r="E44" s="2" t="s">
        <v>32</v>
      </c>
      <c r="F44" s="2">
        <v>617.37</v>
      </c>
      <c r="G44" s="2">
        <v>239.75</v>
      </c>
      <c r="H44" s="4" t="str">
        <f t="shared" si="0"/>
        <v>Apr</v>
      </c>
      <c r="I44" s="4">
        <f t="shared" si="1"/>
        <v>0.38834086528337952</v>
      </c>
    </row>
    <row r="45" spans="1:9">
      <c r="A45" s="2" t="s">
        <v>492</v>
      </c>
      <c r="B45" s="3">
        <v>45400</v>
      </c>
      <c r="C45" s="2" t="s">
        <v>21</v>
      </c>
      <c r="D45" s="2" t="s">
        <v>8</v>
      </c>
      <c r="E45" s="2" t="s">
        <v>24</v>
      </c>
      <c r="F45" s="2">
        <v>606.65</v>
      </c>
      <c r="G45" s="2">
        <v>-9.4600000000000009</v>
      </c>
      <c r="H45" s="4" t="str">
        <f t="shared" si="0"/>
        <v>Apr</v>
      </c>
      <c r="I45" s="4">
        <f t="shared" si="1"/>
        <v>-1.5593834995466911E-2</v>
      </c>
    </row>
    <row r="46" spans="1:9">
      <c r="A46" s="2" t="s">
        <v>497</v>
      </c>
      <c r="B46" s="3">
        <v>45405</v>
      </c>
      <c r="C46" s="2" t="s">
        <v>27</v>
      </c>
      <c r="D46" s="2" t="s">
        <v>8</v>
      </c>
      <c r="E46" s="2" t="s">
        <v>32</v>
      </c>
      <c r="F46" s="2">
        <v>329.89</v>
      </c>
      <c r="G46" s="2">
        <v>282.20999999999998</v>
      </c>
      <c r="H46" s="4" t="str">
        <f t="shared" si="0"/>
        <v>Apr</v>
      </c>
      <c r="I46" s="4">
        <f t="shared" si="1"/>
        <v>0.85546697383976478</v>
      </c>
    </row>
    <row r="47" spans="1:9">
      <c r="A47" s="2" t="s">
        <v>501</v>
      </c>
      <c r="B47" s="3">
        <v>45409</v>
      </c>
      <c r="C47" s="2" t="s">
        <v>16</v>
      </c>
      <c r="D47" s="2" t="s">
        <v>11</v>
      </c>
      <c r="E47" s="2" t="s">
        <v>9</v>
      </c>
      <c r="F47" s="2">
        <v>639.41</v>
      </c>
      <c r="G47" s="2">
        <v>69.36</v>
      </c>
      <c r="H47" s="4" t="str">
        <f t="shared" si="0"/>
        <v>Apr</v>
      </c>
      <c r="I47" s="4">
        <f t="shared" si="1"/>
        <v>0.10847500039098544</v>
      </c>
    </row>
    <row r="48" spans="1:9">
      <c r="A48" s="2" t="s">
        <v>504</v>
      </c>
      <c r="B48" s="3">
        <v>45412</v>
      </c>
      <c r="C48" s="2" t="s">
        <v>21</v>
      </c>
      <c r="D48" s="2" t="s">
        <v>22</v>
      </c>
      <c r="E48" s="2" t="s">
        <v>18</v>
      </c>
      <c r="F48" s="2">
        <v>819.2</v>
      </c>
      <c r="G48" s="2">
        <v>-177.89</v>
      </c>
      <c r="H48" s="4" t="str">
        <f t="shared" si="0"/>
        <v>Apr</v>
      </c>
      <c r="I48" s="4">
        <f t="shared" si="1"/>
        <v>-0.21715087890624998</v>
      </c>
    </row>
    <row r="49" spans="1:9">
      <c r="A49" s="2" t="s">
        <v>505</v>
      </c>
      <c r="B49" s="3">
        <v>45413</v>
      </c>
      <c r="C49" s="2" t="s">
        <v>21</v>
      </c>
      <c r="D49" s="2" t="s">
        <v>22</v>
      </c>
      <c r="E49" s="2" t="s">
        <v>18</v>
      </c>
      <c r="F49" s="2">
        <v>726.24</v>
      </c>
      <c r="G49" s="2">
        <v>275.08</v>
      </c>
      <c r="H49" s="4" t="str">
        <f t="shared" si="0"/>
        <v>May</v>
      </c>
      <c r="I49" s="4">
        <f t="shared" si="1"/>
        <v>0.37877285745758976</v>
      </c>
    </row>
    <row r="50" spans="1:9">
      <c r="A50" s="2" t="s">
        <v>506</v>
      </c>
      <c r="B50" s="3">
        <v>45414</v>
      </c>
      <c r="C50" s="2" t="s">
        <v>21</v>
      </c>
      <c r="D50" s="2" t="s">
        <v>8</v>
      </c>
      <c r="E50" s="2" t="s">
        <v>14</v>
      </c>
      <c r="F50" s="2">
        <v>513.44000000000005</v>
      </c>
      <c r="G50" s="2">
        <v>-134.30000000000001</v>
      </c>
      <c r="H50" s="4" t="str">
        <f t="shared" si="0"/>
        <v>May</v>
      </c>
      <c r="I50" s="4">
        <f t="shared" si="1"/>
        <v>-0.26156902461826115</v>
      </c>
    </row>
    <row r="51" spans="1:9">
      <c r="A51" s="2" t="s">
        <v>514</v>
      </c>
      <c r="B51" s="3">
        <v>45422</v>
      </c>
      <c r="C51" s="2" t="s">
        <v>16</v>
      </c>
      <c r="D51" s="2" t="s">
        <v>22</v>
      </c>
      <c r="E51" s="2" t="s">
        <v>9</v>
      </c>
      <c r="F51" s="2">
        <v>127.31</v>
      </c>
      <c r="G51" s="2">
        <v>154.19</v>
      </c>
      <c r="H51" s="4" t="str">
        <f t="shared" si="0"/>
        <v>May</v>
      </c>
      <c r="I51" s="4">
        <f t="shared" si="1"/>
        <v>1.211138166679758</v>
      </c>
    </row>
    <row r="52" spans="1:9">
      <c r="A52" s="2" t="s">
        <v>549</v>
      </c>
      <c r="B52" s="3">
        <v>45457</v>
      </c>
      <c r="C52" s="2" t="s">
        <v>16</v>
      </c>
      <c r="D52" s="2" t="s">
        <v>8</v>
      </c>
      <c r="E52" s="2" t="s">
        <v>14</v>
      </c>
      <c r="F52" s="2">
        <v>818.59</v>
      </c>
      <c r="G52" s="2">
        <v>9.76</v>
      </c>
      <c r="H52" s="4" t="str">
        <f t="shared" si="0"/>
        <v>Jun</v>
      </c>
      <c r="I52" s="4">
        <f t="shared" si="1"/>
        <v>1.1922940666267605E-2</v>
      </c>
    </row>
    <row r="53" spans="1:9">
      <c r="A53" s="2" t="s">
        <v>551</v>
      </c>
      <c r="B53" s="3">
        <v>45459</v>
      </c>
      <c r="C53" s="2" t="s">
        <v>16</v>
      </c>
      <c r="D53" s="2" t="s">
        <v>11</v>
      </c>
      <c r="E53" s="2" t="s">
        <v>24</v>
      </c>
      <c r="F53" s="2">
        <v>347.49</v>
      </c>
      <c r="G53" s="2">
        <v>-40.69</v>
      </c>
      <c r="H53" s="4" t="str">
        <f t="shared" si="0"/>
        <v>Jun</v>
      </c>
      <c r="I53" s="4">
        <f t="shared" si="1"/>
        <v>-0.11709689487467265</v>
      </c>
    </row>
    <row r="54" spans="1:9">
      <c r="A54" s="2" t="s">
        <v>581</v>
      </c>
      <c r="B54" s="3">
        <v>45489</v>
      </c>
      <c r="C54" s="2" t="s">
        <v>21</v>
      </c>
      <c r="D54" s="2" t="s">
        <v>8</v>
      </c>
      <c r="E54" s="2" t="s">
        <v>24</v>
      </c>
      <c r="F54" s="2">
        <v>484.01</v>
      </c>
      <c r="G54" s="2">
        <v>258.36</v>
      </c>
      <c r="H54" s="4" t="str">
        <f t="shared" si="0"/>
        <v>Jul</v>
      </c>
      <c r="I54" s="4">
        <f t="shared" si="1"/>
        <v>0.53379062416065792</v>
      </c>
    </row>
    <row r="55" spans="1:9">
      <c r="A55" s="2" t="s">
        <v>584</v>
      </c>
      <c r="B55" s="3">
        <v>45492</v>
      </c>
      <c r="C55" s="2" t="s">
        <v>21</v>
      </c>
      <c r="D55" s="2" t="s">
        <v>8</v>
      </c>
      <c r="E55" s="2" t="s">
        <v>14</v>
      </c>
      <c r="F55" s="2">
        <v>472.88</v>
      </c>
      <c r="G55" s="2">
        <v>-128.9</v>
      </c>
      <c r="H55" s="4" t="str">
        <f t="shared" si="0"/>
        <v>Jul</v>
      </c>
      <c r="I55" s="4">
        <f t="shared" si="1"/>
        <v>-0.27258501099644733</v>
      </c>
    </row>
    <row r="56" spans="1:9">
      <c r="A56" s="2" t="s">
        <v>593</v>
      </c>
      <c r="B56" s="3">
        <v>45501</v>
      </c>
      <c r="C56" s="2" t="s">
        <v>21</v>
      </c>
      <c r="D56" s="2" t="s">
        <v>11</v>
      </c>
      <c r="E56" s="2" t="s">
        <v>32</v>
      </c>
      <c r="F56" s="2">
        <v>982.3</v>
      </c>
      <c r="G56" s="2">
        <v>182.31</v>
      </c>
      <c r="H56" s="4" t="str">
        <f t="shared" si="0"/>
        <v>Jul</v>
      </c>
      <c r="I56" s="4">
        <f t="shared" si="1"/>
        <v>0.18559503206759648</v>
      </c>
    </row>
    <row r="57" spans="1:9">
      <c r="A57" s="2" t="s">
        <v>594</v>
      </c>
      <c r="B57" s="3">
        <v>45502</v>
      </c>
      <c r="C57" s="2" t="s">
        <v>16</v>
      </c>
      <c r="D57" s="2" t="s">
        <v>11</v>
      </c>
      <c r="E57" s="2" t="s">
        <v>9</v>
      </c>
      <c r="F57" s="2">
        <v>698.14</v>
      </c>
      <c r="G57" s="2">
        <v>-175.64</v>
      </c>
      <c r="H57" s="4" t="str">
        <f t="shared" si="0"/>
        <v>Jul</v>
      </c>
      <c r="I57" s="4">
        <f t="shared" si="1"/>
        <v>-0.25158277709341964</v>
      </c>
    </row>
    <row r="58" spans="1:9">
      <c r="A58" s="2" t="s">
        <v>607</v>
      </c>
      <c r="B58" s="3">
        <v>45515</v>
      </c>
      <c r="C58" s="2" t="s">
        <v>13</v>
      </c>
      <c r="D58" s="2" t="s">
        <v>22</v>
      </c>
      <c r="E58" s="2" t="s">
        <v>32</v>
      </c>
      <c r="F58" s="2">
        <v>534.23</v>
      </c>
      <c r="G58" s="2">
        <v>-131.07</v>
      </c>
      <c r="H58" s="4" t="str">
        <f t="shared" si="0"/>
        <v>Aug</v>
      </c>
      <c r="I58" s="4">
        <f t="shared" si="1"/>
        <v>-0.24534376579375922</v>
      </c>
    </row>
    <row r="59" spans="1:9">
      <c r="A59" s="2" t="s">
        <v>611</v>
      </c>
      <c r="B59" s="3">
        <v>45519</v>
      </c>
      <c r="C59" s="2" t="s">
        <v>27</v>
      </c>
      <c r="D59" s="2" t="s">
        <v>11</v>
      </c>
      <c r="E59" s="2" t="s">
        <v>18</v>
      </c>
      <c r="F59" s="2">
        <v>659.04</v>
      </c>
      <c r="G59" s="2">
        <v>216.45</v>
      </c>
      <c r="H59" s="4" t="str">
        <f t="shared" si="0"/>
        <v>Aug</v>
      </c>
      <c r="I59" s="4">
        <f t="shared" si="1"/>
        <v>0.32843226511289147</v>
      </c>
    </row>
    <row r="60" spans="1:9">
      <c r="A60" s="2" t="s">
        <v>632</v>
      </c>
      <c r="B60" s="3">
        <v>45540</v>
      </c>
      <c r="C60" s="2" t="s">
        <v>13</v>
      </c>
      <c r="D60" s="2" t="s">
        <v>8</v>
      </c>
      <c r="E60" s="2" t="s">
        <v>24</v>
      </c>
      <c r="F60" s="2">
        <v>524.38</v>
      </c>
      <c r="G60" s="2">
        <v>7.13</v>
      </c>
      <c r="H60" s="4" t="str">
        <f t="shared" si="0"/>
        <v>Sep</v>
      </c>
      <c r="I60" s="4">
        <f t="shared" si="1"/>
        <v>1.3597009802051948E-2</v>
      </c>
    </row>
    <row r="61" spans="1:9">
      <c r="A61" s="2" t="s">
        <v>643</v>
      </c>
      <c r="B61" s="3">
        <v>45551</v>
      </c>
      <c r="C61" s="2" t="s">
        <v>27</v>
      </c>
      <c r="D61" s="2" t="s">
        <v>11</v>
      </c>
      <c r="E61" s="2" t="s">
        <v>32</v>
      </c>
      <c r="F61" s="2">
        <v>487.26</v>
      </c>
      <c r="G61" s="2">
        <v>-101.61</v>
      </c>
      <c r="H61" s="4" t="str">
        <f t="shared" si="0"/>
        <v>Sep</v>
      </c>
      <c r="I61" s="4">
        <f t="shared" si="1"/>
        <v>-0.20853343184336903</v>
      </c>
    </row>
    <row r="62" spans="1:9">
      <c r="A62" s="2" t="s">
        <v>648</v>
      </c>
      <c r="B62" s="3">
        <v>45556</v>
      </c>
      <c r="C62" s="2" t="s">
        <v>13</v>
      </c>
      <c r="D62" s="2" t="s">
        <v>11</v>
      </c>
      <c r="E62" s="2" t="s">
        <v>14</v>
      </c>
      <c r="F62" s="2">
        <v>519.27</v>
      </c>
      <c r="G62" s="2">
        <v>183.06</v>
      </c>
      <c r="H62" s="4" t="str">
        <f t="shared" si="0"/>
        <v>Sep</v>
      </c>
      <c r="I62" s="4">
        <f t="shared" si="1"/>
        <v>0.35253336414582009</v>
      </c>
    </row>
    <row r="63" spans="1:9">
      <c r="A63" s="2" t="s">
        <v>649</v>
      </c>
      <c r="B63" s="3">
        <v>45557</v>
      </c>
      <c r="C63" s="2" t="s">
        <v>16</v>
      </c>
      <c r="D63" s="2" t="s">
        <v>11</v>
      </c>
      <c r="E63" s="2" t="s">
        <v>32</v>
      </c>
      <c r="F63" s="2">
        <v>610.9</v>
      </c>
      <c r="G63" s="2">
        <v>30.09</v>
      </c>
      <c r="H63" s="4" t="str">
        <f t="shared" si="0"/>
        <v>Sep</v>
      </c>
      <c r="I63" s="4">
        <f t="shared" si="1"/>
        <v>4.9255197249959082E-2</v>
      </c>
    </row>
    <row r="64" spans="1:9">
      <c r="A64" s="2" t="s">
        <v>650</v>
      </c>
      <c r="B64" s="3">
        <v>45558</v>
      </c>
      <c r="C64" s="2" t="s">
        <v>27</v>
      </c>
      <c r="D64" s="2" t="s">
        <v>22</v>
      </c>
      <c r="E64" s="2" t="s">
        <v>32</v>
      </c>
      <c r="F64" s="2">
        <v>271.01</v>
      </c>
      <c r="G64" s="2">
        <v>-40.630000000000003</v>
      </c>
      <c r="H64" s="4" t="str">
        <f t="shared" si="0"/>
        <v>Sep</v>
      </c>
      <c r="I64" s="4">
        <f t="shared" si="1"/>
        <v>-0.14992066713405411</v>
      </c>
    </row>
    <row r="65" spans="1:9">
      <c r="A65" s="2" t="s">
        <v>659</v>
      </c>
      <c r="B65" s="3">
        <v>45567</v>
      </c>
      <c r="C65" s="2" t="s">
        <v>21</v>
      </c>
      <c r="D65" s="2" t="s">
        <v>8</v>
      </c>
      <c r="E65" s="2" t="s">
        <v>32</v>
      </c>
      <c r="F65" s="2">
        <v>496.46</v>
      </c>
      <c r="G65" s="2">
        <v>-33.5</v>
      </c>
      <c r="H65" s="4" t="str">
        <f t="shared" si="0"/>
        <v>Oct</v>
      </c>
      <c r="I65" s="4">
        <f t="shared" si="1"/>
        <v>-6.7477742416307454E-2</v>
      </c>
    </row>
    <row r="66" spans="1:9">
      <c r="A66" s="2" t="s">
        <v>663</v>
      </c>
      <c r="B66" s="3">
        <v>45571</v>
      </c>
      <c r="C66" s="2" t="s">
        <v>13</v>
      </c>
      <c r="D66" s="2" t="s">
        <v>8</v>
      </c>
      <c r="E66" s="2" t="s">
        <v>9</v>
      </c>
      <c r="F66" s="2">
        <v>205.46</v>
      </c>
      <c r="G66" s="2">
        <v>-46.32</v>
      </c>
      <c r="H66" s="4" t="str">
        <f t="shared" si="0"/>
        <v>Oct</v>
      </c>
      <c r="I66" s="4">
        <f t="shared" si="1"/>
        <v>-0.2254453421590577</v>
      </c>
    </row>
    <row r="67" spans="1:9">
      <c r="A67" s="2" t="s">
        <v>667</v>
      </c>
      <c r="B67" s="3">
        <v>45575</v>
      </c>
      <c r="C67" s="2" t="s">
        <v>16</v>
      </c>
      <c r="D67" s="2" t="s">
        <v>8</v>
      </c>
      <c r="E67" s="2" t="s">
        <v>9</v>
      </c>
      <c r="F67" s="2">
        <v>60.9</v>
      </c>
      <c r="G67" s="2">
        <v>-165.49</v>
      </c>
      <c r="H67" s="4" t="str">
        <f t="shared" ref="H67:H126" si="2">TEXT(B67,"mmm")</f>
        <v>Oct</v>
      </c>
      <c r="I67" s="4">
        <f t="shared" ref="I67:I126" si="3">IF(F67=0,0,G67/F67)</f>
        <v>-2.7174055829228245</v>
      </c>
    </row>
    <row r="68" spans="1:9">
      <c r="A68" s="2" t="s">
        <v>677</v>
      </c>
      <c r="B68" s="3">
        <v>45585</v>
      </c>
      <c r="C68" s="2" t="s">
        <v>27</v>
      </c>
      <c r="D68" s="2" t="s">
        <v>22</v>
      </c>
      <c r="E68" s="2" t="s">
        <v>9</v>
      </c>
      <c r="F68" s="2">
        <v>863.22</v>
      </c>
      <c r="G68" s="2">
        <v>170.82</v>
      </c>
      <c r="H68" s="4" t="str">
        <f t="shared" si="2"/>
        <v>Oct</v>
      </c>
      <c r="I68" s="4">
        <f t="shared" si="3"/>
        <v>0.1978869813025648</v>
      </c>
    </row>
    <row r="69" spans="1:9">
      <c r="A69" s="2" t="s">
        <v>686</v>
      </c>
      <c r="B69" s="3">
        <v>45594</v>
      </c>
      <c r="C69" s="2" t="s">
        <v>27</v>
      </c>
      <c r="D69" s="2" t="s">
        <v>22</v>
      </c>
      <c r="E69" s="2" t="s">
        <v>18</v>
      </c>
      <c r="F69" s="2">
        <v>58.31</v>
      </c>
      <c r="G69" s="2">
        <v>215.78</v>
      </c>
      <c r="H69" s="4" t="str">
        <f t="shared" si="2"/>
        <v>Oct</v>
      </c>
      <c r="I69" s="4">
        <f t="shared" si="3"/>
        <v>3.7005659406619791</v>
      </c>
    </row>
    <row r="70" spans="1:9">
      <c r="A70" s="2" t="s">
        <v>687</v>
      </c>
      <c r="B70" s="3">
        <v>45595</v>
      </c>
      <c r="C70" s="2" t="s">
        <v>13</v>
      </c>
      <c r="D70" s="2" t="s">
        <v>22</v>
      </c>
      <c r="E70" s="2" t="s">
        <v>14</v>
      </c>
      <c r="F70" s="2">
        <v>608.35</v>
      </c>
      <c r="G70" s="2">
        <v>183.4</v>
      </c>
      <c r="H70" s="4" t="str">
        <f t="shared" si="2"/>
        <v>Oct</v>
      </c>
      <c r="I70" s="4">
        <f t="shared" si="3"/>
        <v>0.30147119257006655</v>
      </c>
    </row>
    <row r="71" spans="1:9">
      <c r="A71" s="2" t="s">
        <v>688</v>
      </c>
      <c r="B71" s="3">
        <v>45596</v>
      </c>
      <c r="C71" s="2" t="s">
        <v>13</v>
      </c>
      <c r="D71" s="2" t="s">
        <v>8</v>
      </c>
      <c r="E71" s="2" t="s">
        <v>9</v>
      </c>
      <c r="F71" s="2">
        <v>324.45</v>
      </c>
      <c r="G71" s="2">
        <v>49.38</v>
      </c>
      <c r="H71" s="4" t="str">
        <f t="shared" si="2"/>
        <v>Oct</v>
      </c>
      <c r="I71" s="4">
        <f t="shared" si="3"/>
        <v>0.15219602404068425</v>
      </c>
    </row>
    <row r="72" spans="1:9">
      <c r="A72" s="2" t="s">
        <v>721</v>
      </c>
      <c r="B72" s="3">
        <v>45629</v>
      </c>
      <c r="C72" s="2" t="s">
        <v>16</v>
      </c>
      <c r="D72" s="2" t="s">
        <v>11</v>
      </c>
      <c r="E72" s="2" t="s">
        <v>14</v>
      </c>
      <c r="F72" s="2">
        <v>888.28</v>
      </c>
      <c r="G72" s="2">
        <v>204.51</v>
      </c>
      <c r="H72" s="4" t="str">
        <f t="shared" si="2"/>
        <v>Dec</v>
      </c>
      <c r="I72" s="4">
        <f t="shared" si="3"/>
        <v>0.23023145854910612</v>
      </c>
    </row>
    <row r="73" spans="1:9">
      <c r="A73" s="2" t="s">
        <v>729</v>
      </c>
      <c r="B73" s="3">
        <v>45637</v>
      </c>
      <c r="C73" s="2" t="s">
        <v>13</v>
      </c>
      <c r="D73" s="2" t="s">
        <v>11</v>
      </c>
      <c r="E73" s="2" t="s">
        <v>14</v>
      </c>
      <c r="F73" s="2">
        <v>338.01</v>
      </c>
      <c r="G73" s="2">
        <v>-197.33</v>
      </c>
      <c r="H73" s="4" t="str">
        <f t="shared" si="2"/>
        <v>Dec</v>
      </c>
      <c r="I73" s="4">
        <f t="shared" si="3"/>
        <v>-0.58379929587882018</v>
      </c>
    </row>
    <row r="74" spans="1:9">
      <c r="A74" s="2" t="s">
        <v>739</v>
      </c>
      <c r="B74" s="3">
        <v>45647</v>
      </c>
      <c r="C74" s="2" t="s">
        <v>13</v>
      </c>
      <c r="D74" s="2" t="s">
        <v>8</v>
      </c>
      <c r="E74" s="2" t="s">
        <v>24</v>
      </c>
      <c r="F74" s="2">
        <v>572.08000000000004</v>
      </c>
      <c r="G74" s="2">
        <v>196.38</v>
      </c>
      <c r="H74" s="4" t="str">
        <f t="shared" si="2"/>
        <v>Dec</v>
      </c>
      <c r="I74" s="4">
        <f t="shared" si="3"/>
        <v>0.34327366801845893</v>
      </c>
    </row>
    <row r="75" spans="1:9">
      <c r="A75" s="2" t="s">
        <v>759</v>
      </c>
      <c r="B75" s="3">
        <v>45667</v>
      </c>
      <c r="C75" s="2" t="s">
        <v>16</v>
      </c>
      <c r="D75" s="2" t="s">
        <v>11</v>
      </c>
      <c r="E75" s="2" t="s">
        <v>9</v>
      </c>
      <c r="F75" s="2">
        <v>88.98</v>
      </c>
      <c r="G75" s="2">
        <v>-38.49</v>
      </c>
      <c r="H75" s="4" t="str">
        <f t="shared" si="2"/>
        <v>Jan</v>
      </c>
      <c r="I75" s="4">
        <f t="shared" si="3"/>
        <v>-0.43256911665542819</v>
      </c>
    </row>
    <row r="76" spans="1:9">
      <c r="A76" s="2" t="s">
        <v>760</v>
      </c>
      <c r="B76" s="3">
        <v>45668</v>
      </c>
      <c r="C76" s="2" t="s">
        <v>16</v>
      </c>
      <c r="D76" s="2" t="s">
        <v>22</v>
      </c>
      <c r="E76" s="2" t="s">
        <v>18</v>
      </c>
      <c r="F76" s="2">
        <v>169.34</v>
      </c>
      <c r="G76" s="2">
        <v>-82.4</v>
      </c>
      <c r="H76" s="4" t="str">
        <f t="shared" si="2"/>
        <v>Jan</v>
      </c>
      <c r="I76" s="4">
        <f t="shared" si="3"/>
        <v>-0.48659501594425419</v>
      </c>
    </row>
    <row r="77" spans="1:9">
      <c r="A77" s="2" t="s">
        <v>772</v>
      </c>
      <c r="B77" s="3">
        <v>45680</v>
      </c>
      <c r="C77" s="2" t="s">
        <v>13</v>
      </c>
      <c r="D77" s="2" t="s">
        <v>11</v>
      </c>
      <c r="E77" s="2" t="s">
        <v>32</v>
      </c>
      <c r="F77" s="2">
        <v>754.83</v>
      </c>
      <c r="G77" s="2">
        <v>-187.86</v>
      </c>
      <c r="H77" s="4" t="str">
        <f t="shared" si="2"/>
        <v>Jan</v>
      </c>
      <c r="I77" s="4">
        <f t="shared" si="3"/>
        <v>-0.24887723063471245</v>
      </c>
    </row>
    <row r="78" spans="1:9">
      <c r="A78" s="2" t="s">
        <v>780</v>
      </c>
      <c r="B78" s="3">
        <v>45688</v>
      </c>
      <c r="C78" s="2" t="s">
        <v>21</v>
      </c>
      <c r="D78" s="2" t="s">
        <v>22</v>
      </c>
      <c r="E78" s="2" t="s">
        <v>24</v>
      </c>
      <c r="F78" s="2">
        <v>696.3</v>
      </c>
      <c r="G78" s="2">
        <v>155.5</v>
      </c>
      <c r="H78" s="4" t="str">
        <f t="shared" si="2"/>
        <v>Jan</v>
      </c>
      <c r="I78" s="4">
        <f t="shared" si="3"/>
        <v>0.22332328019531814</v>
      </c>
    </row>
    <row r="79" spans="1:9">
      <c r="A79" s="2" t="s">
        <v>789</v>
      </c>
      <c r="B79" s="3">
        <v>45697</v>
      </c>
      <c r="C79" s="2" t="s">
        <v>27</v>
      </c>
      <c r="D79" s="2" t="s">
        <v>8</v>
      </c>
      <c r="E79" s="2" t="s">
        <v>32</v>
      </c>
      <c r="F79" s="2">
        <v>421.9</v>
      </c>
      <c r="G79" s="2">
        <v>74.88</v>
      </c>
      <c r="H79" s="4" t="str">
        <f t="shared" si="2"/>
        <v>Feb</v>
      </c>
      <c r="I79" s="4">
        <f t="shared" si="3"/>
        <v>0.17748281583313583</v>
      </c>
    </row>
    <row r="80" spans="1:9">
      <c r="A80" s="2" t="s">
        <v>793</v>
      </c>
      <c r="B80" s="3">
        <v>45701</v>
      </c>
      <c r="C80" s="2" t="s">
        <v>13</v>
      </c>
      <c r="D80" s="2" t="s">
        <v>22</v>
      </c>
      <c r="E80" s="2" t="s">
        <v>32</v>
      </c>
      <c r="F80" s="2">
        <v>191.01</v>
      </c>
      <c r="G80" s="2">
        <v>89.75</v>
      </c>
      <c r="H80" s="4" t="str">
        <f t="shared" si="2"/>
        <v>Feb</v>
      </c>
      <c r="I80" s="4">
        <f t="shared" si="3"/>
        <v>0.46987068739856552</v>
      </c>
    </row>
    <row r="81" spans="1:9">
      <c r="A81" s="2" t="s">
        <v>796</v>
      </c>
      <c r="B81" s="3">
        <v>45704</v>
      </c>
      <c r="C81" s="2" t="s">
        <v>13</v>
      </c>
      <c r="D81" s="2" t="s">
        <v>11</v>
      </c>
      <c r="E81" s="2" t="s">
        <v>18</v>
      </c>
      <c r="F81" s="2">
        <v>926.26</v>
      </c>
      <c r="G81" s="2">
        <v>-92.48</v>
      </c>
      <c r="H81" s="4" t="str">
        <f t="shared" si="2"/>
        <v>Feb</v>
      </c>
      <c r="I81" s="4">
        <f t="shared" si="3"/>
        <v>-9.9842376870425159E-2</v>
      </c>
    </row>
    <row r="82" spans="1:9">
      <c r="A82" s="2" t="s">
        <v>800</v>
      </c>
      <c r="B82" s="3">
        <v>45708</v>
      </c>
      <c r="C82" s="2" t="s">
        <v>13</v>
      </c>
      <c r="D82" s="2" t="s">
        <v>8</v>
      </c>
      <c r="E82" s="2" t="s">
        <v>32</v>
      </c>
      <c r="F82" s="2">
        <v>265.41000000000003</v>
      </c>
      <c r="G82" s="2">
        <v>200.39</v>
      </c>
      <c r="H82" s="4" t="str">
        <f t="shared" si="2"/>
        <v>Feb</v>
      </c>
      <c r="I82" s="4">
        <f t="shared" si="3"/>
        <v>0.75502053426773663</v>
      </c>
    </row>
    <row r="83" spans="1:9">
      <c r="A83" s="2" t="s">
        <v>804</v>
      </c>
      <c r="B83" s="3">
        <v>45712</v>
      </c>
      <c r="C83" s="2" t="s">
        <v>16</v>
      </c>
      <c r="D83" s="2" t="s">
        <v>11</v>
      </c>
      <c r="E83" s="2" t="s">
        <v>9</v>
      </c>
      <c r="F83" s="2">
        <v>772.68</v>
      </c>
      <c r="G83" s="2">
        <v>70.97</v>
      </c>
      <c r="H83" s="4" t="str">
        <f t="shared" si="2"/>
        <v>Feb</v>
      </c>
      <c r="I83" s="4">
        <f t="shared" si="3"/>
        <v>9.1849148418491483E-2</v>
      </c>
    </row>
    <row r="84" spans="1:9">
      <c r="A84" s="2" t="s">
        <v>809</v>
      </c>
      <c r="B84" s="3">
        <v>45717</v>
      </c>
      <c r="C84" s="2" t="s">
        <v>16</v>
      </c>
      <c r="D84" s="2" t="s">
        <v>11</v>
      </c>
      <c r="E84" s="2" t="s">
        <v>32</v>
      </c>
      <c r="F84" s="2">
        <v>172.04</v>
      </c>
      <c r="G84" s="2">
        <v>148.97</v>
      </c>
      <c r="H84" s="4" t="str">
        <f t="shared" si="2"/>
        <v>Mar</v>
      </c>
      <c r="I84" s="4">
        <f t="shared" si="3"/>
        <v>0.86590327830737046</v>
      </c>
    </row>
    <row r="85" spans="1:9">
      <c r="A85" s="2" t="s">
        <v>812</v>
      </c>
      <c r="B85" s="3">
        <v>45720</v>
      </c>
      <c r="C85" s="2" t="s">
        <v>21</v>
      </c>
      <c r="D85" s="2" t="s">
        <v>22</v>
      </c>
      <c r="E85" s="2" t="s">
        <v>18</v>
      </c>
      <c r="F85" s="2">
        <v>150.22999999999999</v>
      </c>
      <c r="G85" s="2">
        <v>-146.44</v>
      </c>
      <c r="H85" s="4" t="str">
        <f t="shared" si="2"/>
        <v>Mar</v>
      </c>
      <c r="I85" s="4">
        <f t="shared" si="3"/>
        <v>-0.97477201624176268</v>
      </c>
    </row>
    <row r="86" spans="1:9">
      <c r="A86" s="2" t="s">
        <v>824</v>
      </c>
      <c r="B86" s="3">
        <v>45732</v>
      </c>
      <c r="C86" s="2" t="s">
        <v>27</v>
      </c>
      <c r="D86" s="2" t="s">
        <v>11</v>
      </c>
      <c r="E86" s="2" t="s">
        <v>32</v>
      </c>
      <c r="F86" s="2">
        <v>662.58</v>
      </c>
      <c r="G86" s="2">
        <v>-138.4</v>
      </c>
      <c r="H86" s="4" t="str">
        <f t="shared" si="2"/>
        <v>Mar</v>
      </c>
      <c r="I86" s="4">
        <f t="shared" si="3"/>
        <v>-0.20888043707929607</v>
      </c>
    </row>
    <row r="87" spans="1:9">
      <c r="A87" s="2" t="s">
        <v>825</v>
      </c>
      <c r="B87" s="3">
        <v>45733</v>
      </c>
      <c r="C87" s="2" t="s">
        <v>21</v>
      </c>
      <c r="D87" s="2" t="s">
        <v>11</v>
      </c>
      <c r="E87" s="2" t="s">
        <v>32</v>
      </c>
      <c r="F87" s="2">
        <v>645.39</v>
      </c>
      <c r="G87" s="2">
        <v>-61.41</v>
      </c>
      <c r="H87" s="4" t="str">
        <f t="shared" si="2"/>
        <v>Mar</v>
      </c>
      <c r="I87" s="4">
        <f t="shared" si="3"/>
        <v>-9.5151768697996561E-2</v>
      </c>
    </row>
    <row r="88" spans="1:9">
      <c r="A88" s="2" t="s">
        <v>829</v>
      </c>
      <c r="B88" s="3">
        <v>45737</v>
      </c>
      <c r="C88" s="2" t="s">
        <v>21</v>
      </c>
      <c r="D88" s="2" t="s">
        <v>8</v>
      </c>
      <c r="E88" s="2" t="s">
        <v>14</v>
      </c>
      <c r="F88" s="2">
        <v>625.21</v>
      </c>
      <c r="G88" s="2">
        <v>171.92</v>
      </c>
      <c r="H88" s="4" t="str">
        <f t="shared" si="2"/>
        <v>Mar</v>
      </c>
      <c r="I88" s="4">
        <f t="shared" si="3"/>
        <v>0.27497960685209766</v>
      </c>
    </row>
    <row r="89" spans="1:9">
      <c r="A89" s="2" t="s">
        <v>843</v>
      </c>
      <c r="B89" s="3">
        <v>45751</v>
      </c>
      <c r="C89" s="2" t="s">
        <v>13</v>
      </c>
      <c r="D89" s="2" t="s">
        <v>11</v>
      </c>
      <c r="E89" s="2" t="s">
        <v>24</v>
      </c>
      <c r="F89" s="2">
        <v>104.56</v>
      </c>
      <c r="G89" s="2">
        <v>218.26</v>
      </c>
      <c r="H89" s="4" t="str">
        <f t="shared" si="2"/>
        <v>Apr</v>
      </c>
      <c r="I89" s="4">
        <f t="shared" si="3"/>
        <v>2.0874139250191277</v>
      </c>
    </row>
    <row r="90" spans="1:9">
      <c r="A90" s="2" t="s">
        <v>849</v>
      </c>
      <c r="B90" s="3">
        <v>45757</v>
      </c>
      <c r="C90" s="2" t="s">
        <v>27</v>
      </c>
      <c r="D90" s="2" t="s">
        <v>8</v>
      </c>
      <c r="E90" s="2" t="s">
        <v>32</v>
      </c>
      <c r="F90" s="2">
        <v>299.51</v>
      </c>
      <c r="G90" s="2">
        <v>-106.18</v>
      </c>
      <c r="H90" s="4" t="str">
        <f t="shared" si="2"/>
        <v>Apr</v>
      </c>
      <c r="I90" s="4">
        <f t="shared" si="3"/>
        <v>-0.35451237020466764</v>
      </c>
    </row>
    <row r="91" spans="1:9">
      <c r="A91" s="2" t="s">
        <v>854</v>
      </c>
      <c r="B91" s="3">
        <v>45762</v>
      </c>
      <c r="C91" s="2" t="s">
        <v>27</v>
      </c>
      <c r="D91" s="2" t="s">
        <v>11</v>
      </c>
      <c r="E91" s="2" t="s">
        <v>24</v>
      </c>
      <c r="F91" s="2">
        <v>910.84</v>
      </c>
      <c r="G91" s="2">
        <v>-95.16</v>
      </c>
      <c r="H91" s="4" t="str">
        <f t="shared" si="2"/>
        <v>Apr</v>
      </c>
      <c r="I91" s="4">
        <f t="shared" si="3"/>
        <v>-0.10447499011901101</v>
      </c>
    </row>
    <row r="92" spans="1:9">
      <c r="A92" s="2" t="s">
        <v>876</v>
      </c>
      <c r="B92" s="3">
        <v>45784</v>
      </c>
      <c r="C92" s="2" t="s">
        <v>21</v>
      </c>
      <c r="D92" s="2" t="s">
        <v>11</v>
      </c>
      <c r="E92" s="2" t="s">
        <v>32</v>
      </c>
      <c r="F92" s="2">
        <v>792.65</v>
      </c>
      <c r="G92" s="2">
        <v>-106.61</v>
      </c>
      <c r="H92" s="4" t="str">
        <f t="shared" si="2"/>
        <v>May</v>
      </c>
      <c r="I92" s="4">
        <f t="shared" si="3"/>
        <v>-0.13449820223301584</v>
      </c>
    </row>
    <row r="93" spans="1:9">
      <c r="A93" s="2" t="s">
        <v>877</v>
      </c>
      <c r="B93" s="3">
        <v>45785</v>
      </c>
      <c r="C93" s="2" t="s">
        <v>21</v>
      </c>
      <c r="D93" s="2" t="s">
        <v>8</v>
      </c>
      <c r="E93" s="2" t="s">
        <v>14</v>
      </c>
      <c r="F93" s="2">
        <v>260.26</v>
      </c>
      <c r="G93" s="2">
        <v>217.38</v>
      </c>
      <c r="H93" s="4" t="str">
        <f t="shared" si="2"/>
        <v>May</v>
      </c>
      <c r="I93" s="4">
        <f t="shared" si="3"/>
        <v>0.83524168139552757</v>
      </c>
    </row>
    <row r="94" spans="1:9">
      <c r="A94" s="2" t="s">
        <v>893</v>
      </c>
      <c r="B94" s="3">
        <v>45801</v>
      </c>
      <c r="C94" s="2" t="s">
        <v>13</v>
      </c>
      <c r="D94" s="2" t="s">
        <v>11</v>
      </c>
      <c r="E94" s="2" t="s">
        <v>9</v>
      </c>
      <c r="F94" s="2">
        <v>289.23</v>
      </c>
      <c r="G94" s="2">
        <v>-5.37</v>
      </c>
      <c r="H94" s="4" t="str">
        <f t="shared" si="2"/>
        <v>May</v>
      </c>
      <c r="I94" s="4">
        <f t="shared" si="3"/>
        <v>-1.8566538740794523E-2</v>
      </c>
    </row>
    <row r="95" spans="1:9">
      <c r="A95" s="2" t="s">
        <v>909</v>
      </c>
      <c r="B95" s="3">
        <v>45817</v>
      </c>
      <c r="C95" s="2" t="s">
        <v>27</v>
      </c>
      <c r="D95" s="2" t="s">
        <v>22</v>
      </c>
      <c r="E95" s="2" t="s">
        <v>14</v>
      </c>
      <c r="F95" s="2">
        <v>799.5</v>
      </c>
      <c r="G95" s="2">
        <v>-106.29</v>
      </c>
      <c r="H95" s="4" t="str">
        <f t="shared" si="2"/>
        <v>Jun</v>
      </c>
      <c r="I95" s="4">
        <f t="shared" si="3"/>
        <v>-0.13294559099437148</v>
      </c>
    </row>
    <row r="96" spans="1:9">
      <c r="A96" s="2" t="s">
        <v>911</v>
      </c>
      <c r="B96" s="3">
        <v>45819</v>
      </c>
      <c r="C96" s="2" t="s">
        <v>27</v>
      </c>
      <c r="D96" s="2" t="s">
        <v>11</v>
      </c>
      <c r="E96" s="2" t="s">
        <v>24</v>
      </c>
      <c r="F96" s="2">
        <v>144.54</v>
      </c>
      <c r="G96" s="2">
        <v>261.35000000000002</v>
      </c>
      <c r="H96" s="4" t="str">
        <f t="shared" si="2"/>
        <v>Jun</v>
      </c>
      <c r="I96" s="4">
        <f t="shared" si="3"/>
        <v>1.8081499930815002</v>
      </c>
    </row>
    <row r="97" spans="1:9">
      <c r="A97" s="2" t="s">
        <v>934</v>
      </c>
      <c r="B97" s="3">
        <v>45842</v>
      </c>
      <c r="C97" s="2" t="s">
        <v>16</v>
      </c>
      <c r="D97" s="2" t="s">
        <v>22</v>
      </c>
      <c r="E97" s="2" t="s">
        <v>14</v>
      </c>
      <c r="F97" s="2">
        <v>115.18</v>
      </c>
      <c r="G97" s="2">
        <v>6.86</v>
      </c>
      <c r="H97" s="4" t="str">
        <f t="shared" si="2"/>
        <v>Jul</v>
      </c>
      <c r="I97" s="4">
        <f t="shared" si="3"/>
        <v>5.9558951206806737E-2</v>
      </c>
    </row>
    <row r="98" spans="1:9">
      <c r="A98" s="2" t="s">
        <v>958</v>
      </c>
      <c r="B98" s="3">
        <v>45866</v>
      </c>
      <c r="C98" s="2" t="s">
        <v>27</v>
      </c>
      <c r="D98" s="2" t="s">
        <v>8</v>
      </c>
      <c r="E98" s="2" t="s">
        <v>18</v>
      </c>
      <c r="F98" s="2">
        <v>373.74</v>
      </c>
      <c r="G98" s="2">
        <v>102.48</v>
      </c>
      <c r="H98" s="4" t="str">
        <f t="shared" si="2"/>
        <v>Jul</v>
      </c>
      <c r="I98" s="4">
        <f t="shared" si="3"/>
        <v>0.27420131642318191</v>
      </c>
    </row>
    <row r="99" spans="1:9">
      <c r="A99" s="2" t="s">
        <v>963</v>
      </c>
      <c r="B99" s="3">
        <v>45871</v>
      </c>
      <c r="C99" s="2" t="s">
        <v>16</v>
      </c>
      <c r="D99" s="2" t="s">
        <v>11</v>
      </c>
      <c r="E99" s="2" t="s">
        <v>9</v>
      </c>
      <c r="F99" s="2">
        <v>825.4</v>
      </c>
      <c r="G99" s="2">
        <v>-130.56</v>
      </c>
      <c r="H99" s="4" t="str">
        <f t="shared" si="2"/>
        <v>Aug</v>
      </c>
      <c r="I99" s="4">
        <f t="shared" si="3"/>
        <v>-0.15817785316210323</v>
      </c>
    </row>
    <row r="100" spans="1:9">
      <c r="A100" s="2" t="s">
        <v>986</v>
      </c>
      <c r="B100" s="3">
        <v>45894</v>
      </c>
      <c r="C100" s="2" t="s">
        <v>27</v>
      </c>
      <c r="D100" s="2" t="s">
        <v>8</v>
      </c>
      <c r="E100" s="2" t="s">
        <v>9</v>
      </c>
      <c r="F100" s="2">
        <v>309.17</v>
      </c>
      <c r="G100" s="2">
        <v>-93.7</v>
      </c>
      <c r="H100" s="4" t="str">
        <f t="shared" si="2"/>
        <v>Aug</v>
      </c>
      <c r="I100" s="4">
        <f t="shared" si="3"/>
        <v>-0.30306950868454247</v>
      </c>
    </row>
    <row r="101" spans="1:9">
      <c r="A101" s="2" t="s">
        <v>1000</v>
      </c>
      <c r="B101" s="3">
        <v>45908</v>
      </c>
      <c r="C101" s="2" t="s">
        <v>13</v>
      </c>
      <c r="D101" s="2" t="s">
        <v>11</v>
      </c>
      <c r="E101" s="2" t="s">
        <v>24</v>
      </c>
      <c r="F101" s="2">
        <v>936.25</v>
      </c>
      <c r="G101" s="2">
        <v>275.27</v>
      </c>
      <c r="H101" s="4" t="str">
        <f t="shared" si="2"/>
        <v>Sep</v>
      </c>
      <c r="I101" s="4">
        <f t="shared" si="3"/>
        <v>0.29401335113484645</v>
      </c>
    </row>
    <row r="102" spans="1:9">
      <c r="A102" s="2" t="s">
        <v>1004</v>
      </c>
      <c r="B102" s="3">
        <v>45912</v>
      </c>
      <c r="C102" s="2" t="s">
        <v>27</v>
      </c>
      <c r="D102" s="2" t="s">
        <v>11</v>
      </c>
      <c r="E102" s="2" t="s">
        <v>14</v>
      </c>
      <c r="F102" s="2">
        <v>477.88</v>
      </c>
      <c r="G102" s="2">
        <v>-154.11000000000001</v>
      </c>
      <c r="H102" s="4" t="str">
        <f t="shared" si="2"/>
        <v>Sep</v>
      </c>
      <c r="I102" s="4">
        <f t="shared" si="3"/>
        <v>-0.32248681677408558</v>
      </c>
    </row>
    <row r="103" spans="1:9">
      <c r="A103" s="2" t="s">
        <v>1005</v>
      </c>
      <c r="B103" s="3">
        <v>45913</v>
      </c>
      <c r="C103" s="2" t="s">
        <v>21</v>
      </c>
      <c r="D103" s="2" t="s">
        <v>22</v>
      </c>
      <c r="E103" s="2" t="s">
        <v>24</v>
      </c>
      <c r="F103" s="2">
        <v>460.37</v>
      </c>
      <c r="G103" s="2">
        <v>66.739999999999995</v>
      </c>
      <c r="H103" s="4" t="str">
        <f t="shared" si="2"/>
        <v>Sep</v>
      </c>
      <c r="I103" s="4">
        <f t="shared" si="3"/>
        <v>0.14497034993592109</v>
      </c>
    </row>
    <row r="104" spans="1:9">
      <c r="A104" s="2" t="s">
        <v>1018</v>
      </c>
      <c r="B104" s="3">
        <v>45926</v>
      </c>
      <c r="C104" s="2" t="s">
        <v>27</v>
      </c>
      <c r="D104" s="2" t="s">
        <v>22</v>
      </c>
      <c r="E104" s="2" t="s">
        <v>9</v>
      </c>
      <c r="F104" s="2">
        <v>973.96</v>
      </c>
      <c r="G104" s="2">
        <v>-77.459999999999994</v>
      </c>
      <c r="H104" s="4" t="str">
        <f t="shared" si="2"/>
        <v>Sep</v>
      </c>
      <c r="I104" s="4">
        <f t="shared" si="3"/>
        <v>-7.953098689884594E-2</v>
      </c>
    </row>
    <row r="105" spans="1:9">
      <c r="A105" s="2" t="s">
        <v>1023</v>
      </c>
      <c r="B105" s="3">
        <v>45931</v>
      </c>
      <c r="C105" s="2" t="s">
        <v>27</v>
      </c>
      <c r="D105" s="2" t="s">
        <v>11</v>
      </c>
      <c r="E105" s="2" t="s">
        <v>24</v>
      </c>
      <c r="F105" s="2">
        <v>253.17</v>
      </c>
      <c r="G105" s="2">
        <v>-44.96</v>
      </c>
      <c r="H105" s="4" t="str">
        <f t="shared" si="2"/>
        <v>Oct</v>
      </c>
      <c r="I105" s="4">
        <f t="shared" si="3"/>
        <v>-0.17758818185409014</v>
      </c>
    </row>
    <row r="106" spans="1:9">
      <c r="A106" s="2" t="s">
        <v>1031</v>
      </c>
      <c r="B106" s="3">
        <v>45939</v>
      </c>
      <c r="C106" s="2" t="s">
        <v>27</v>
      </c>
      <c r="D106" s="2" t="s">
        <v>11</v>
      </c>
      <c r="E106" s="2" t="s">
        <v>24</v>
      </c>
      <c r="F106" s="2">
        <v>966.35</v>
      </c>
      <c r="G106" s="2">
        <v>-160.36000000000001</v>
      </c>
      <c r="H106" s="4" t="str">
        <f t="shared" si="2"/>
        <v>Oct</v>
      </c>
      <c r="I106" s="4">
        <f t="shared" si="3"/>
        <v>-0.16594401614321935</v>
      </c>
    </row>
    <row r="107" spans="1:9">
      <c r="A107" s="2" t="s">
        <v>1046</v>
      </c>
      <c r="B107" s="3">
        <v>45954</v>
      </c>
      <c r="C107" s="2" t="s">
        <v>21</v>
      </c>
      <c r="D107" s="2" t="s">
        <v>22</v>
      </c>
      <c r="E107" s="2" t="s">
        <v>9</v>
      </c>
      <c r="F107" s="2">
        <v>582.53</v>
      </c>
      <c r="G107" s="2">
        <v>-9.7200000000000006</v>
      </c>
      <c r="H107" s="4" t="str">
        <f t="shared" si="2"/>
        <v>Oct</v>
      </c>
      <c r="I107" s="4">
        <f t="shared" si="3"/>
        <v>-1.668583592261343E-2</v>
      </c>
    </row>
    <row r="108" spans="1:9">
      <c r="A108" s="2" t="s">
        <v>1056</v>
      </c>
      <c r="B108" s="3">
        <v>45964</v>
      </c>
      <c r="C108" s="2" t="s">
        <v>16</v>
      </c>
      <c r="D108" s="2" t="s">
        <v>11</v>
      </c>
      <c r="E108" s="2" t="s">
        <v>9</v>
      </c>
      <c r="F108" s="2">
        <v>301.69</v>
      </c>
      <c r="G108" s="2">
        <v>252.78</v>
      </c>
      <c r="H108" s="4" t="str">
        <f t="shared" si="2"/>
        <v>Nov</v>
      </c>
      <c r="I108" s="4">
        <f t="shared" si="3"/>
        <v>0.83787994298783519</v>
      </c>
    </row>
    <row r="109" spans="1:9">
      <c r="A109" s="2" t="s">
        <v>1062</v>
      </c>
      <c r="B109" s="3">
        <v>45970</v>
      </c>
      <c r="C109" s="2" t="s">
        <v>13</v>
      </c>
      <c r="D109" s="2" t="s">
        <v>11</v>
      </c>
      <c r="E109" s="2" t="s">
        <v>9</v>
      </c>
      <c r="F109" s="2">
        <v>401.99</v>
      </c>
      <c r="G109" s="2">
        <v>-101.62</v>
      </c>
      <c r="H109" s="4" t="str">
        <f t="shared" si="2"/>
        <v>Nov</v>
      </c>
      <c r="I109" s="4">
        <f t="shared" si="3"/>
        <v>-0.25279235801885619</v>
      </c>
    </row>
    <row r="110" spans="1:9">
      <c r="A110" s="2" t="s">
        <v>1073</v>
      </c>
      <c r="B110" s="3">
        <v>45981</v>
      </c>
      <c r="C110" s="2" t="s">
        <v>16</v>
      </c>
      <c r="D110" s="2" t="s">
        <v>8</v>
      </c>
      <c r="E110" s="2" t="s">
        <v>14</v>
      </c>
      <c r="F110" s="2">
        <v>85.18</v>
      </c>
      <c r="G110" s="2">
        <v>21.88</v>
      </c>
      <c r="H110" s="4" t="str">
        <f t="shared" si="2"/>
        <v>Nov</v>
      </c>
      <c r="I110" s="4">
        <f t="shared" si="3"/>
        <v>0.2568678093449166</v>
      </c>
    </row>
    <row r="111" spans="1:9">
      <c r="A111" s="2" t="s">
        <v>1082</v>
      </c>
      <c r="B111" s="3">
        <v>45990</v>
      </c>
      <c r="C111" s="2" t="s">
        <v>21</v>
      </c>
      <c r="D111" s="2" t="s">
        <v>22</v>
      </c>
      <c r="E111" s="2" t="s">
        <v>18</v>
      </c>
      <c r="F111" s="2">
        <v>907.21</v>
      </c>
      <c r="G111" s="2">
        <v>63.41</v>
      </c>
      <c r="H111" s="4" t="str">
        <f t="shared" si="2"/>
        <v>Nov</v>
      </c>
      <c r="I111" s="4">
        <f t="shared" si="3"/>
        <v>6.9895614025418579E-2</v>
      </c>
    </row>
    <row r="112" spans="1:9">
      <c r="A112" s="2" t="s">
        <v>1093</v>
      </c>
      <c r="B112" s="3">
        <v>46001</v>
      </c>
      <c r="C112" s="2" t="s">
        <v>21</v>
      </c>
      <c r="D112" s="2" t="s">
        <v>11</v>
      </c>
      <c r="E112" s="2" t="s">
        <v>14</v>
      </c>
      <c r="F112" s="2">
        <v>952.2</v>
      </c>
      <c r="G112" s="2">
        <v>229.8</v>
      </c>
      <c r="H112" s="4" t="str">
        <f t="shared" si="2"/>
        <v>Dec</v>
      </c>
      <c r="I112" s="4">
        <f t="shared" si="3"/>
        <v>0.24133585381222433</v>
      </c>
    </row>
    <row r="113" spans="1:9">
      <c r="A113" s="2" t="s">
        <v>1096</v>
      </c>
      <c r="B113" s="3">
        <v>46004</v>
      </c>
      <c r="C113" s="2" t="s">
        <v>27</v>
      </c>
      <c r="D113" s="2" t="s">
        <v>22</v>
      </c>
      <c r="E113" s="2" t="s">
        <v>9</v>
      </c>
      <c r="F113" s="2">
        <v>425.88</v>
      </c>
      <c r="G113" s="2">
        <v>69.52</v>
      </c>
      <c r="H113" s="4" t="str">
        <f t="shared" si="2"/>
        <v>Dec</v>
      </c>
      <c r="I113" s="4">
        <f t="shared" si="3"/>
        <v>0.16323847093077862</v>
      </c>
    </row>
    <row r="114" spans="1:9">
      <c r="A114" s="2" t="s">
        <v>1109</v>
      </c>
      <c r="B114" s="3">
        <v>46017</v>
      </c>
      <c r="C114" s="2" t="s">
        <v>21</v>
      </c>
      <c r="D114" s="2" t="s">
        <v>11</v>
      </c>
      <c r="E114" s="2" t="s">
        <v>32</v>
      </c>
      <c r="F114" s="2">
        <v>414.93</v>
      </c>
      <c r="G114" s="2">
        <v>110.23</v>
      </c>
      <c r="H114" s="4" t="str">
        <f t="shared" si="2"/>
        <v>Dec</v>
      </c>
      <c r="I114" s="4">
        <f t="shared" si="3"/>
        <v>0.2656592678283084</v>
      </c>
    </row>
    <row r="115" spans="1:9">
      <c r="A115" s="2" t="s">
        <v>1110</v>
      </c>
      <c r="B115" s="3">
        <v>46018</v>
      </c>
      <c r="C115" s="2" t="s">
        <v>21</v>
      </c>
      <c r="D115" s="2" t="s">
        <v>22</v>
      </c>
      <c r="E115" s="2" t="s">
        <v>18</v>
      </c>
      <c r="F115" s="2">
        <v>951.92</v>
      </c>
      <c r="G115" s="2">
        <v>283.83999999999997</v>
      </c>
      <c r="H115" s="4" t="str">
        <f t="shared" si="2"/>
        <v>Dec</v>
      </c>
      <c r="I115" s="4">
        <f t="shared" si="3"/>
        <v>0.29817631733759137</v>
      </c>
    </row>
    <row r="116" spans="1:9">
      <c r="A116" s="2" t="s">
        <v>1123</v>
      </c>
      <c r="B116" s="3">
        <v>46031</v>
      </c>
      <c r="C116" s="2" t="s">
        <v>13</v>
      </c>
      <c r="D116" s="2" t="s">
        <v>8</v>
      </c>
      <c r="E116" s="2" t="s">
        <v>32</v>
      </c>
      <c r="F116" s="2">
        <v>925.87</v>
      </c>
      <c r="G116" s="2">
        <v>246.29</v>
      </c>
      <c r="H116" s="4" t="str">
        <f t="shared" si="2"/>
        <v>Jan</v>
      </c>
      <c r="I116" s="4">
        <f t="shared" si="3"/>
        <v>0.26600926695972438</v>
      </c>
    </row>
    <row r="117" spans="1:9">
      <c r="A117" s="2" t="s">
        <v>1128</v>
      </c>
      <c r="B117" s="3">
        <v>46036</v>
      </c>
      <c r="C117" s="2" t="s">
        <v>13</v>
      </c>
      <c r="D117" s="2" t="s">
        <v>11</v>
      </c>
      <c r="E117" s="2" t="s">
        <v>18</v>
      </c>
      <c r="F117" s="2">
        <v>909.17</v>
      </c>
      <c r="G117" s="2">
        <v>93.86</v>
      </c>
      <c r="H117" s="4" t="str">
        <f t="shared" si="2"/>
        <v>Jan</v>
      </c>
      <c r="I117" s="4">
        <f t="shared" si="3"/>
        <v>0.103237018379401</v>
      </c>
    </row>
    <row r="118" spans="1:9">
      <c r="A118" s="2" t="s">
        <v>1145</v>
      </c>
      <c r="B118" s="3">
        <v>46053</v>
      </c>
      <c r="C118" s="2" t="s">
        <v>16</v>
      </c>
      <c r="D118" s="2" t="s">
        <v>22</v>
      </c>
      <c r="E118" s="2" t="s">
        <v>32</v>
      </c>
      <c r="F118" s="2">
        <v>873.4</v>
      </c>
      <c r="G118" s="2">
        <v>-26.09</v>
      </c>
      <c r="H118" s="4" t="str">
        <f t="shared" si="2"/>
        <v>Jan</v>
      </c>
      <c r="I118" s="4">
        <f t="shared" si="3"/>
        <v>-2.9871765514082896E-2</v>
      </c>
    </row>
    <row r="119" spans="1:9">
      <c r="A119" s="2" t="s">
        <v>1148</v>
      </c>
      <c r="B119" s="3">
        <v>46056</v>
      </c>
      <c r="C119" s="2" t="s">
        <v>27</v>
      </c>
      <c r="D119" s="2" t="s">
        <v>11</v>
      </c>
      <c r="E119" s="2" t="s">
        <v>14</v>
      </c>
      <c r="F119" s="2">
        <v>468.39</v>
      </c>
      <c r="G119" s="2">
        <v>12.99</v>
      </c>
      <c r="H119" s="4" t="str">
        <f t="shared" si="2"/>
        <v>Feb</v>
      </c>
      <c r="I119" s="4">
        <f t="shared" si="3"/>
        <v>2.7733299173765453E-2</v>
      </c>
    </row>
    <row r="120" spans="1:9">
      <c r="A120" s="2" t="s">
        <v>1151</v>
      </c>
      <c r="B120" s="3">
        <v>46059</v>
      </c>
      <c r="C120" s="2" t="s">
        <v>27</v>
      </c>
      <c r="D120" s="2" t="s">
        <v>11</v>
      </c>
      <c r="E120" s="2" t="s">
        <v>14</v>
      </c>
      <c r="F120" s="2">
        <v>473.15</v>
      </c>
      <c r="G120" s="2">
        <v>185.81</v>
      </c>
      <c r="H120" s="4" t="str">
        <f t="shared" si="2"/>
        <v>Feb</v>
      </c>
      <c r="I120" s="4">
        <f t="shared" si="3"/>
        <v>0.39270844341118039</v>
      </c>
    </row>
    <row r="121" spans="1:9">
      <c r="A121" s="2" t="s">
        <v>1153</v>
      </c>
      <c r="B121" s="3">
        <v>46061</v>
      </c>
      <c r="C121" s="2" t="s">
        <v>13</v>
      </c>
      <c r="D121" s="2" t="s">
        <v>11</v>
      </c>
      <c r="E121" s="2" t="s">
        <v>18</v>
      </c>
      <c r="F121" s="2">
        <v>838.98</v>
      </c>
      <c r="G121" s="2">
        <v>-129.41</v>
      </c>
      <c r="H121" s="4" t="str">
        <f t="shared" si="2"/>
        <v>Feb</v>
      </c>
      <c r="I121" s="4">
        <f t="shared" si="3"/>
        <v>-0.1542468235238027</v>
      </c>
    </row>
    <row r="122" spans="1:9">
      <c r="A122" s="2" t="s">
        <v>1158</v>
      </c>
      <c r="B122" s="3">
        <v>46066</v>
      </c>
      <c r="C122" s="2" t="s">
        <v>27</v>
      </c>
      <c r="D122" s="2" t="s">
        <v>22</v>
      </c>
      <c r="E122" s="2" t="s">
        <v>14</v>
      </c>
      <c r="F122" s="2">
        <v>474.64</v>
      </c>
      <c r="G122" s="2">
        <v>233.36</v>
      </c>
      <c r="H122" s="4" t="str">
        <f t="shared" si="2"/>
        <v>Feb</v>
      </c>
      <c r="I122" s="4">
        <f t="shared" si="3"/>
        <v>0.49165683465363225</v>
      </c>
    </row>
    <row r="123" spans="1:9">
      <c r="A123" s="2" t="s">
        <v>1190</v>
      </c>
      <c r="B123" s="3">
        <v>46098</v>
      </c>
      <c r="C123" s="2" t="s">
        <v>27</v>
      </c>
      <c r="D123" s="2" t="s">
        <v>8</v>
      </c>
      <c r="E123" s="2" t="s">
        <v>24</v>
      </c>
      <c r="F123" s="2">
        <v>309.62</v>
      </c>
      <c r="G123" s="2">
        <v>290.92</v>
      </c>
      <c r="H123" s="4" t="str">
        <f t="shared" si="2"/>
        <v>Mar</v>
      </c>
      <c r="I123" s="4">
        <f t="shared" si="3"/>
        <v>0.93960338479426397</v>
      </c>
    </row>
    <row r="124" spans="1:9">
      <c r="A124" s="2" t="s">
        <v>1193</v>
      </c>
      <c r="B124" s="3">
        <v>46101</v>
      </c>
      <c r="C124" s="2" t="s">
        <v>16</v>
      </c>
      <c r="D124" s="2" t="s">
        <v>8</v>
      </c>
      <c r="E124" s="2" t="s">
        <v>18</v>
      </c>
      <c r="F124" s="2">
        <v>627.66</v>
      </c>
      <c r="G124" s="2">
        <v>117.2</v>
      </c>
      <c r="H124" s="4" t="str">
        <f t="shared" si="2"/>
        <v>Mar</v>
      </c>
      <c r="I124" s="4">
        <f t="shared" si="3"/>
        <v>0.18672529713539179</v>
      </c>
    </row>
    <row r="125" spans="1:9">
      <c r="A125" s="2" t="s">
        <v>1202</v>
      </c>
      <c r="B125" s="3">
        <v>46110</v>
      </c>
      <c r="C125" s="2" t="s">
        <v>27</v>
      </c>
      <c r="D125" s="2" t="s">
        <v>22</v>
      </c>
      <c r="E125" s="2" t="s">
        <v>24</v>
      </c>
      <c r="F125" s="2">
        <v>186.73</v>
      </c>
      <c r="G125" s="2">
        <v>284.42</v>
      </c>
      <c r="H125" s="4" t="str">
        <f t="shared" si="2"/>
        <v>Mar</v>
      </c>
      <c r="I125" s="4">
        <f t="shared" si="3"/>
        <v>1.5231617843945806</v>
      </c>
    </row>
    <row r="126" spans="1:9">
      <c r="A126" s="2" t="s">
        <v>1203</v>
      </c>
      <c r="B126" s="3">
        <v>46111</v>
      </c>
      <c r="C126" s="2" t="s">
        <v>16</v>
      </c>
      <c r="D126" s="2" t="s">
        <v>8</v>
      </c>
      <c r="E126" s="2" t="s">
        <v>9</v>
      </c>
      <c r="F126" s="2">
        <v>386</v>
      </c>
      <c r="G126" s="2">
        <v>-194.52</v>
      </c>
      <c r="H126" s="4" t="str">
        <f t="shared" si="2"/>
        <v>Mar</v>
      </c>
      <c r="I126" s="4">
        <f t="shared" si="3"/>
        <v>-0.50393782383419694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A3860-336A-5048-9FB1-7DD9D52AB676}">
  <dimension ref="B4:O46"/>
  <sheetViews>
    <sheetView workbookViewId="0">
      <selection activeCell="E24" sqref="E24"/>
    </sheetView>
  </sheetViews>
  <sheetFormatPr baseColWidth="10" defaultRowHeight="16"/>
  <cols>
    <col min="1" max="1" width="13" bestFit="1" customWidth="1"/>
    <col min="2" max="2" width="37.83203125" bestFit="1" customWidth="1"/>
    <col min="3" max="4" width="11.83203125" bestFit="1" customWidth="1"/>
    <col min="5" max="5" width="19.83203125" bestFit="1" customWidth="1"/>
    <col min="6" max="6" width="11.83203125" bestFit="1" customWidth="1"/>
    <col min="7" max="7" width="19.83203125" bestFit="1" customWidth="1"/>
    <col min="11" max="11" width="10.5" bestFit="1" customWidth="1"/>
    <col min="12" max="12" width="11.6640625" bestFit="1" customWidth="1"/>
    <col min="13" max="13" width="33" bestFit="1" customWidth="1"/>
  </cols>
  <sheetData>
    <row r="4" spans="2:3" ht="27">
      <c r="B4" s="14" t="s">
        <v>1249</v>
      </c>
    </row>
    <row r="5" spans="2:3" ht="27">
      <c r="C5" s="12"/>
    </row>
    <row r="6" spans="2:3">
      <c r="B6" s="5" t="s">
        <v>1221</v>
      </c>
      <c r="C6" t="s">
        <v>1235</v>
      </c>
    </row>
    <row r="7" spans="2:3">
      <c r="B7" s="6" t="s">
        <v>1222</v>
      </c>
      <c r="C7" s="7">
        <v>5838.53</v>
      </c>
    </row>
    <row r="8" spans="2:3">
      <c r="B8" s="6" t="s">
        <v>1223</v>
      </c>
      <c r="C8" s="7">
        <v>7844.45</v>
      </c>
    </row>
    <row r="9" spans="2:3">
      <c r="B9" s="6" t="s">
        <v>1224</v>
      </c>
      <c r="C9" s="7">
        <v>4489.32</v>
      </c>
    </row>
    <row r="10" spans="2:3">
      <c r="B10" s="6" t="s">
        <v>1225</v>
      </c>
      <c r="C10" s="7">
        <v>7111.42</v>
      </c>
    </row>
    <row r="11" spans="2:3">
      <c r="B11" s="6" t="s">
        <v>1226</v>
      </c>
      <c r="C11" s="7">
        <v>5323.1399999999994</v>
      </c>
    </row>
    <row r="12" spans="2:3">
      <c r="B12" s="6" t="s">
        <v>1227</v>
      </c>
      <c r="C12" s="7">
        <v>3804.3500000000004</v>
      </c>
    </row>
    <row r="13" spans="2:3">
      <c r="B13" s="6" t="s">
        <v>1228</v>
      </c>
      <c r="C13" s="7">
        <v>4186.6699999999992</v>
      </c>
    </row>
    <row r="14" spans="2:3">
      <c r="B14" s="6" t="s">
        <v>1229</v>
      </c>
      <c r="C14" s="7">
        <v>4018.2000000000003</v>
      </c>
    </row>
    <row r="15" spans="2:3">
      <c r="B15" s="6" t="s">
        <v>1230</v>
      </c>
      <c r="C15" s="7">
        <v>8275.41</v>
      </c>
    </row>
    <row r="16" spans="2:3">
      <c r="B16" s="6" t="s">
        <v>1231</v>
      </c>
      <c r="C16" s="7">
        <v>4419.2</v>
      </c>
    </row>
    <row r="17" spans="2:15">
      <c r="B17" s="6" t="s">
        <v>1232</v>
      </c>
      <c r="C17" s="7">
        <v>2786.2700000000004</v>
      </c>
    </row>
    <row r="18" spans="2:15" ht="27">
      <c r="B18" s="6" t="s">
        <v>1233</v>
      </c>
      <c r="C18" s="7">
        <v>6583.1900000000005</v>
      </c>
      <c r="D18" s="10"/>
      <c r="E18" s="10"/>
    </row>
    <row r="19" spans="2:15" ht="31">
      <c r="B19" s="6" t="s">
        <v>1234</v>
      </c>
      <c r="C19" s="7">
        <v>64680.149999999994</v>
      </c>
      <c r="D19" s="11"/>
      <c r="E19" s="11"/>
    </row>
    <row r="20" spans="2:15" ht="31">
      <c r="B20" s="10"/>
      <c r="C20" s="11"/>
      <c r="D20" s="11"/>
      <c r="E20" s="11"/>
    </row>
    <row r="21" spans="2:15" ht="31">
      <c r="B21" s="15" t="s">
        <v>1250</v>
      </c>
      <c r="C21" s="11"/>
      <c r="D21" s="11"/>
      <c r="E21" s="11"/>
    </row>
    <row r="22" spans="2:15" ht="31">
      <c r="B22" s="10"/>
      <c r="C22" s="11"/>
      <c r="D22" s="11"/>
      <c r="E22" s="11"/>
      <c r="M22" s="10"/>
      <c r="N22" s="10"/>
      <c r="O22" s="10"/>
    </row>
    <row r="23" spans="2:15" ht="31">
      <c r="B23" s="5" t="s">
        <v>1221</v>
      </c>
      <c r="C23" t="s">
        <v>1235</v>
      </c>
      <c r="D23" t="s">
        <v>1236</v>
      </c>
      <c r="E23" s="10"/>
      <c r="M23" s="11"/>
      <c r="N23" s="11"/>
      <c r="O23" s="11"/>
    </row>
    <row r="24" spans="2:15" ht="31">
      <c r="B24" s="6" t="s">
        <v>22</v>
      </c>
      <c r="C24" s="7">
        <v>18484.22</v>
      </c>
      <c r="D24" s="7">
        <v>1423.1499999999999</v>
      </c>
      <c r="M24" s="11"/>
      <c r="N24" s="11"/>
      <c r="O24" s="11"/>
    </row>
    <row r="25" spans="2:15" ht="31">
      <c r="B25" s="6" t="s">
        <v>8</v>
      </c>
      <c r="C25" s="7">
        <v>20064.389999999992</v>
      </c>
      <c r="D25" s="7">
        <v>2530.2600000000007</v>
      </c>
      <c r="M25" s="11"/>
      <c r="N25" s="11"/>
      <c r="O25" s="11"/>
    </row>
    <row r="26" spans="2:15" ht="31">
      <c r="B26" s="6" t="s">
        <v>11</v>
      </c>
      <c r="C26" s="7">
        <v>26131.54</v>
      </c>
      <c r="D26" s="7">
        <v>1464.58</v>
      </c>
      <c r="M26" s="11"/>
      <c r="N26" s="11"/>
      <c r="O26" s="11"/>
    </row>
    <row r="27" spans="2:15" ht="27">
      <c r="B27" s="6" t="s">
        <v>1234</v>
      </c>
      <c r="C27" s="7">
        <v>64680.149999999994</v>
      </c>
      <c r="D27" s="7">
        <v>5417.9900000000007</v>
      </c>
      <c r="M27" s="10"/>
      <c r="N27" s="10"/>
      <c r="O27" s="10"/>
    </row>
    <row r="28" spans="2:15" ht="27">
      <c r="B28" s="6"/>
      <c r="C28" s="7"/>
      <c r="D28" s="7"/>
      <c r="M28" s="10"/>
      <c r="N28" s="10"/>
      <c r="O28" s="10"/>
    </row>
    <row r="30" spans="2:15" ht="27">
      <c r="B30" s="14" t="s">
        <v>1251</v>
      </c>
    </row>
    <row r="32" spans="2:15">
      <c r="B32" s="5" t="s">
        <v>1221</v>
      </c>
      <c r="C32" t="s">
        <v>1236</v>
      </c>
    </row>
    <row r="33" spans="2:5">
      <c r="B33" s="6" t="s">
        <v>13</v>
      </c>
      <c r="C33" s="7">
        <v>452.69000000000005</v>
      </c>
    </row>
    <row r="34" spans="2:5">
      <c r="B34" s="6" t="s">
        <v>16</v>
      </c>
      <c r="C34" s="7">
        <v>1136.0800000000002</v>
      </c>
    </row>
    <row r="35" spans="2:5">
      <c r="B35" s="6" t="s">
        <v>27</v>
      </c>
      <c r="C35" s="7">
        <v>1848.7600000000002</v>
      </c>
    </row>
    <row r="36" spans="2:5">
      <c r="B36" s="6" t="s">
        <v>21</v>
      </c>
      <c r="C36" s="7">
        <v>1980.46</v>
      </c>
    </row>
    <row r="37" spans="2:5">
      <c r="B37" s="6" t="s">
        <v>1234</v>
      </c>
      <c r="C37" s="7">
        <v>5417.9900000000007</v>
      </c>
    </row>
    <row r="38" spans="2:5">
      <c r="B38" s="6"/>
      <c r="C38" s="7"/>
    </row>
    <row r="39" spans="2:5">
      <c r="B39" s="6" t="s">
        <v>1254</v>
      </c>
    </row>
    <row r="40" spans="2:5" ht="27">
      <c r="B40" s="14" t="s">
        <v>1252</v>
      </c>
    </row>
    <row r="42" spans="2:5">
      <c r="B42" s="5" t="s">
        <v>1253</v>
      </c>
      <c r="C42" t="s">
        <v>1235</v>
      </c>
      <c r="D42" t="s">
        <v>1236</v>
      </c>
      <c r="E42" t="s">
        <v>1237</v>
      </c>
    </row>
    <row r="43" spans="2:5">
      <c r="B43" s="6" t="s">
        <v>22</v>
      </c>
      <c r="C43" s="7">
        <v>18484.22</v>
      </c>
      <c r="D43" s="7">
        <v>1423.1499999999999</v>
      </c>
      <c r="E43" s="7">
        <v>7.4589681205215763</v>
      </c>
    </row>
    <row r="44" spans="2:5">
      <c r="B44" s="6" t="s">
        <v>8</v>
      </c>
      <c r="C44" s="7">
        <v>20064.389999999992</v>
      </c>
      <c r="D44" s="7">
        <v>2530.2600000000007</v>
      </c>
      <c r="E44" s="7">
        <v>5.3635569446911262</v>
      </c>
    </row>
    <row r="45" spans="2:5">
      <c r="B45" s="6" t="s">
        <v>11</v>
      </c>
      <c r="C45" s="7">
        <v>26131.54</v>
      </c>
      <c r="D45" s="7">
        <v>1464.58</v>
      </c>
      <c r="E45" s="7">
        <v>6.3222049683755417</v>
      </c>
    </row>
    <row r="46" spans="2:5">
      <c r="B46" s="6" t="s">
        <v>1234</v>
      </c>
      <c r="C46" s="7">
        <v>64680.149999999994</v>
      </c>
      <c r="D46" s="7">
        <v>5417.9900000000007</v>
      </c>
      <c r="E46" s="7">
        <v>19.144730033588242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1D914-BB2B-1448-8CF6-5D813EC67436}">
  <dimension ref="A1:R69"/>
  <sheetViews>
    <sheetView workbookViewId="0">
      <selection activeCell="G48" sqref="G48"/>
    </sheetView>
  </sheetViews>
  <sheetFormatPr baseColWidth="10" defaultColWidth="10.6640625" defaultRowHeight="16"/>
  <cols>
    <col min="2" max="2" width="12.33203125" bestFit="1" customWidth="1"/>
    <col min="4" max="4" width="37.33203125" bestFit="1" customWidth="1"/>
    <col min="9" max="9" width="10.5" bestFit="1" customWidth="1"/>
    <col min="13" max="13" width="10.83203125" bestFit="1" customWidth="1"/>
    <col min="15" max="15" width="11.6640625" bestFit="1" customWidth="1"/>
    <col min="17" max="17" width="12.33203125" bestFit="1" customWidth="1"/>
  </cols>
  <sheetData>
    <row r="1" spans="1:18" ht="27">
      <c r="A1" s="8"/>
      <c r="D1" s="13"/>
    </row>
    <row r="3" spans="1:18">
      <c r="A3" s="8"/>
      <c r="B3" s="8"/>
      <c r="C3" s="8"/>
      <c r="D3" s="8"/>
      <c r="E3" s="8"/>
      <c r="F3" s="8"/>
      <c r="G3" s="8"/>
      <c r="H3" s="8"/>
      <c r="I3" s="8"/>
    </row>
    <row r="4" spans="1:18" ht="27">
      <c r="D4" s="14" t="s">
        <v>1238</v>
      </c>
      <c r="M4" s="8"/>
      <c r="N4" s="8"/>
      <c r="O4" s="8"/>
      <c r="P4" s="8"/>
      <c r="Q4" s="8"/>
      <c r="R4" s="8"/>
    </row>
    <row r="8" spans="1:18" ht="17">
      <c r="B8" s="16" t="s">
        <v>1239</v>
      </c>
    </row>
    <row r="9" spans="1:18">
      <c r="B9" s="18">
        <v>64680.15</v>
      </c>
    </row>
    <row r="29" spans="2:2">
      <c r="B29" s="17" t="s">
        <v>1240</v>
      </c>
    </row>
    <row r="30" spans="2:2">
      <c r="B30" s="19">
        <f>SUM(SalesData[Profit])</f>
        <v>5417.99</v>
      </c>
    </row>
    <row r="49" spans="2:2">
      <c r="B49" s="17" t="s">
        <v>1241</v>
      </c>
    </row>
    <row r="50" spans="2:2">
      <c r="B50" s="20">
        <f>COUNTA(SalesData[Order ID])</f>
        <v>125</v>
      </c>
    </row>
    <row r="68" spans="2:2">
      <c r="B68" s="17" t="s">
        <v>1242</v>
      </c>
    </row>
    <row r="69" spans="2:2">
      <c r="B69" s="20">
        <f>SUM(SalesData[Profit]) / SUM(SalesData[Sales])</f>
        <v>8.3765884896680021E-2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1EE2E-8644-DC45-936B-7517B84CE8E3}">
  <dimension ref="A7:B15"/>
  <sheetViews>
    <sheetView tabSelected="1" workbookViewId="0">
      <selection activeCell="D4" sqref="D4"/>
    </sheetView>
  </sheetViews>
  <sheetFormatPr baseColWidth="10" defaultRowHeight="16"/>
  <cols>
    <col min="1" max="1" width="9.83203125" bestFit="1" customWidth="1"/>
    <col min="2" max="2" width="44.6640625" bestFit="1" customWidth="1"/>
    <col min="10" max="10" width="44.6640625" bestFit="1" customWidth="1"/>
  </cols>
  <sheetData>
    <row r="7" spans="1:2" ht="19">
      <c r="A7" s="9" t="s">
        <v>1255</v>
      </c>
      <c r="B7" s="21" t="s">
        <v>1238</v>
      </c>
    </row>
    <row r="8" spans="1:2" ht="19">
      <c r="A8" s="9"/>
      <c r="B8" s="21"/>
    </row>
    <row r="9" spans="1:2" ht="19">
      <c r="A9" s="9" t="s">
        <v>1256</v>
      </c>
      <c r="B9" s="21" t="s">
        <v>1243</v>
      </c>
    </row>
    <row r="10" spans="1:2" ht="19">
      <c r="A10" s="9"/>
      <c r="B10" s="21"/>
    </row>
    <row r="11" spans="1:2" ht="19">
      <c r="A11" s="9" t="s">
        <v>1244</v>
      </c>
      <c r="B11" s="21" t="s">
        <v>1257</v>
      </c>
    </row>
    <row r="12" spans="1:2" ht="19">
      <c r="A12" s="9"/>
      <c r="B12" s="21"/>
    </row>
    <row r="13" spans="1:2" ht="19">
      <c r="A13" s="9" t="s">
        <v>1245</v>
      </c>
      <c r="B13" s="21" t="s">
        <v>1246</v>
      </c>
    </row>
    <row r="14" spans="1:2" ht="19">
      <c r="A14" s="9"/>
      <c r="B14" s="21"/>
    </row>
    <row r="15" spans="1:2" ht="19">
      <c r="A15" s="9" t="s">
        <v>1247</v>
      </c>
      <c r="B15" s="21" t="s">
        <v>1248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Clean_Data</vt:lpstr>
      <vt:lpstr>Analysis</vt:lpstr>
      <vt:lpstr>Dashboard</vt:lpstr>
      <vt:lpstr>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Khair Muhammad</dc:creator>
  <cp:lastModifiedBy>Khair Muhammad</cp:lastModifiedBy>
  <dcterms:created xsi:type="dcterms:W3CDTF">2026-02-01T10:41:59Z</dcterms:created>
  <dcterms:modified xsi:type="dcterms:W3CDTF">2026-02-02T06:55:52Z</dcterms:modified>
</cp:coreProperties>
</file>